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puts" state="visible" r:id="rId5"/>
    <sheet sheetId="3" name="Calc" state="visible" r:id="rId6"/>
    <sheet sheetId="4" name="Results" state="visible" r:id="rId7"/>
    <sheet sheetId="5" name="Sensitivity" state="visible" r:id="rId8"/>
  </sheets>
  <calcPr calcId="171027" fullCalcOnLoad="1"/>
</workbook>
</file>

<file path=xl/sharedStrings.xml><?xml version="1.0" encoding="utf-8"?>
<sst xmlns="http://schemas.openxmlformats.org/spreadsheetml/2006/main" count="146" uniqueCount="115">
  <si>
    <t>LCOE model — utility-scale PV (Module 10, Lesson 2)</t>
  </si>
  <si>
    <t>Yellow cells with blue bold text = INPUTS you may change.</t>
  </si>
  <si>
    <t>Green cells = key RESULTS (formulas — do not overwrite).</t>
  </si>
  <si>
    <t>WHAT THIS MODEL DOES</t>
  </si>
  <si>
    <t>Computes the levelized cost of electricity (LCOE) from first principles: the constant price per kWh whose present value of revenue equals the present value of all costs, NPV(costs) = NPV(energy x LCOE). It therefore solves LCOE = sum[(Capex_t + Opex_t)/(1+r)^t] / sum[E_t/(1+r)^t].</t>
  </si>
  <si>
    <t>Sheets: Inputs (all assumptions, shaded) -&gt; Calc (annual rows, years 0-40, life switch) -&gt; Results (LCOE in USD/MWh, US cents/kWh and fils/kWh, plus the capital-recovery-factor shortcut) -&gt; Sensitivity (LCOE vs WACC table and a tornado table).</t>
  </si>
  <si>
    <t>Energy discounting: energy is discounted at the same rate as money. This is not a statement that energy 'earns interest' — it is algebra: moving LCOE (a constant) outside the revenue sum leaves sum[E_t/(1+r)^t].</t>
  </si>
  <si>
    <t>Timing convention: capex at end of year 0 (= COD, interest during construction already in capex), operating cash flows at the end of years 1..life.</t>
  </si>
  <si>
    <t>EXERCISES (see Lesson m10-l07)</t>
  </si>
  <si>
    <t>1. Base case: confirm LCOE = 1.764 US cents/kWh at 6.2% WACC. Compare with the CRF shortcut (1.634) and explain the gap (degradation and opex escalation).</t>
  </si>
  <si>
    <t>2. Change WACC to 6.45% and confirm LCOE = 1.800 US cents/kWh — the bid tariff in the project-finance model. Why does LCOE at the project IRR equal a flat tariff?</t>
  </si>
  <si>
    <t>3. Find the capex (USD m) that brings LCOE to 1.50 US cents/kWh at 6.2% (use Goal Seek on Results LCOE by changing Inputs capex).</t>
  </si>
  <si>
    <t>4. Fill in the tornado: which variable dominates — capex, yield, WACC or opex? Rank them and explain to a non-financial director in two sentences.</t>
  </si>
  <si>
    <t>5. Fixed-tilt alternative: specific yield 1,850 kWh/kWp and capex USD 520 m. Is the tracker worth it at 6.2%?</t>
  </si>
  <si>
    <t>DISCLAIMER</t>
  </si>
  <si>
    <t>All numbers are ILLUSTRATIVE teaching values for a generic 1,100 MW PV IPP in Kuwait-like conditions. They are NOT the tariff, capex or terms of any real Shagaya / KAPP project (the Zone 1 tariff has not been published). Replace them with project data before using the model for any decision.</t>
  </si>
  <si>
    <t>Currency convention: USD for IPP economics, KWD for ministry budgets; assumed 1 KWD = 3.25 USD (change in Inputs where shown).</t>
  </si>
  <si>
    <t>Inputs — LCOE model</t>
  </si>
  <si>
    <t>Change only the yellow cells.</t>
  </si>
  <si>
    <t>Input</t>
  </si>
  <si>
    <t>Value</t>
  </si>
  <si>
    <t>Unit</t>
  </si>
  <si>
    <t>Note / typical range</t>
  </si>
  <si>
    <t>Plant AC capacity</t>
  </si>
  <si>
    <t>MWac</t>
  </si>
  <si>
    <t/>
  </si>
  <si>
    <t>Plant DC capacity</t>
  </si>
  <si>
    <t>MWp</t>
  </si>
  <si>
    <t>DC/AC 1.2–1.35 typical for trackers in the Gulf</t>
  </si>
  <si>
    <t>Specific yield, year 1 (P50)</t>
  </si>
  <si>
    <t>kWh/kWp/yr</t>
  </si>
  <si>
    <t>Single-axis bifacial, Kuwait-like: ~1,950–2,250; fixed tilt ~1,750–1,900</t>
  </si>
  <si>
    <t>Annual degradation (from year 2)</t>
  </si>
  <si>
    <t>%/yr</t>
  </si>
  <si>
    <t>0.3–0.5 %/yr n-type; check module warranty</t>
  </si>
  <si>
    <t>Total capex at COD (incl. IDC, dev, grid)</t>
  </si>
  <si>
    <t>USD m</t>
  </si>
  <si>
    <t>See Lesson 3 breakdown</t>
  </si>
  <si>
    <t>Opex, year 1 (O&amp;M, cleaning, insurance, SPV)</t>
  </si>
  <si>
    <t>USD m/yr</t>
  </si>
  <si>
    <t>USD 5–9/kWac/yr in Gulf benchmarks</t>
  </si>
  <si>
    <t>Opex escalation</t>
  </si>
  <si>
    <t>Discount rate (nominal WACC)</t>
  </si>
  <si>
    <t>Must match the cash-flow basis: nominal with nominal, real with real</t>
  </si>
  <si>
    <t>Economic life / PPA term</t>
  </si>
  <si>
    <t>years</t>
  </si>
  <si>
    <t>Max 40 in this sheet</t>
  </si>
  <si>
    <t>Exchange rate</t>
  </si>
  <si>
    <t>USD per KWD</t>
  </si>
  <si>
    <t>Derived</t>
  </si>
  <si>
    <t>How it is calculated</t>
  </si>
  <si>
    <t>DC/AC ratio</t>
  </si>
  <si>
    <t>–</t>
  </si>
  <si>
    <t>Energy year 1</t>
  </si>
  <si>
    <t>GWh</t>
  </si>
  <si>
    <t>MWp x kWh/kWp / 1000</t>
  </si>
  <si>
    <t>Capacity factor (AC basis)</t>
  </si>
  <si>
    <t>%</t>
  </si>
  <si>
    <t>E / (P_AC x 8,760 h)</t>
  </si>
  <si>
    <t>Capex per Wp (DC)</t>
  </si>
  <si>
    <t>USD/Wp</t>
  </si>
  <si>
    <t>Capex per kWac</t>
  </si>
  <si>
    <t>USD/kWac</t>
  </si>
  <si>
    <t>Annual calculation (do not edit)</t>
  </si>
  <si>
    <t>Rows: year 0 (capex) to year 40; the life switch zeroes years beyond the economic life.</t>
  </si>
  <si>
    <t>Year</t>
  </si>
  <si>
    <t>Operating flag</t>
  </si>
  <si>
    <t>Energy (GWh)</t>
  </si>
  <si>
    <t>Opex (USD m)</t>
  </si>
  <si>
    <t>Capex (USD m)</t>
  </si>
  <si>
    <t>Discount factor</t>
  </si>
  <si>
    <t>PV energy (GWh)</t>
  </si>
  <si>
    <t>PV cost (USD m)</t>
  </si>
  <si>
    <t>Total</t>
  </si>
  <si>
    <t>Results — LCOE</t>
  </si>
  <si>
    <t>LCOE = PV(costs) / PV(energy)</t>
  </si>
  <si>
    <t>Result</t>
  </si>
  <si>
    <t>PV of costs (capex + opex)</t>
  </si>
  <si>
    <t>PV of energy ('discounted GWh')</t>
  </si>
  <si>
    <t>LCOE</t>
  </si>
  <si>
    <t>USD/kWh</t>
  </si>
  <si>
    <t>USD m / GWh = USD/kWh</t>
  </si>
  <si>
    <t>USD/MWh</t>
  </si>
  <si>
    <t>US cents/kWh</t>
  </si>
  <si>
    <t>fils/kWh</t>
  </si>
  <si>
    <t>1 KWD = 1,000 fils</t>
  </si>
  <si>
    <t>CRF shortcut (no degradation, flat opex)</t>
  </si>
  <si>
    <t>Capital recovery factor</t>
  </si>
  <si>
    <t>1/yr</t>
  </si>
  <si>
    <t>CRF = r(1+r)^n / ((1+r)^n - 1)</t>
  </si>
  <si>
    <t>Annualised capital charge</t>
  </si>
  <si>
    <t>Simple LCOE = (Capex x CRF + Opex1)/E1</t>
  </si>
  <si>
    <t>Understates true LCOE when output degrades and opex escalates</t>
  </si>
  <si>
    <t>Levelized (annuity-equivalent) energy</t>
  </si>
  <si>
    <t>GWh/yr</t>
  </si>
  <si>
    <t>Levelized opex</t>
  </si>
  <si>
    <t>Exact LCOE via levelized terms (check)</t>
  </si>
  <si>
    <t>Must equal B9</t>
  </si>
  <si>
    <t>Sensitivity — LCOE vs WACC and tornado</t>
  </si>
  <si>
    <t>Each cell recomputes the full discounted sum with SUMPRODUCT (no data tables needed).</t>
  </si>
  <si>
    <t>WACC</t>
  </si>
  <si>
    <t>LCOE (US cents/kWh)</t>
  </si>
  <si>
    <t>Tornado (one variable at a time; others at base)</t>
  </si>
  <si>
    <t>Variable</t>
  </si>
  <si>
    <t>Low case</t>
  </si>
  <si>
    <t>High case</t>
  </si>
  <si>
    <t>LCOE at low</t>
  </si>
  <si>
    <t>LCOE at high</t>
  </si>
  <si>
    <t>Swing (abs)</t>
  </si>
  <si>
    <t>Capex (multiplier)</t>
  </si>
  <si>
    <t>Specific yield (multiplier)</t>
  </si>
  <si>
    <t>WACC (absolute)</t>
  </si>
  <si>
    <t>Opex (multiplier)</t>
  </si>
  <si>
    <t>Degradation (absolute)</t>
  </si>
  <si>
    <t>Exercise: sort the rows by Swing (largest first) and draw the tornado as a bar chart (Insert &gt; Bar chart, low and high LCOE minus base).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</si>
</sst>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"/>
    <numFmt numFmtId="165" formatCode="0.000"/>
    <numFmt numFmtId="166" formatCode="0.0%"/>
    <numFmt numFmtId="167" formatCode="0.0000"/>
    <numFmt numFmtId="168" formatCode="0.00000"/>
  </numFmts>
  <fonts count="9" x14ac:knownFonts="1">
    <font>
      <color theme="1"/>
      <family val="2"/>
      <scheme val="minor"/>
      <sz val="11"/>
      <name val="Calibri"/>
    </font>
    <font>
      <b/>
      <color rgb="FF1F3864"/>
      <sz val="16"/>
    </font>
    <font>
      <b/>
      <color rgb="FF1F3864"/>
    </font>
    <font>
      <b/>
      <color rgb="FF1F3864"/>
      <sz val="14"/>
    </font>
    <font>
      <i/>
      <color rgb="FF595959"/>
    </font>
    <font>
      <b/>
      <color rgb="FFFFFFFF"/>
    </font>
    <font>
      <b/>
      <color rgb="FF0000CC"/>
    </font>
    <font>
      <color rgb="FF59595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/>
    <xf numFmtId="0" fontId="7" fillId="0" borderId="0" xfId="0" applyFont="1"/>
    <xf numFmtId="10" fontId="6" fillId="2" borderId="1" xfId="0" applyNumberFormat="1" applyFont="1" applyFill="1" applyBorder="1"/>
    <xf numFmtId="164" fontId="6" fillId="2" borderId="1" xfId="0" applyNumberFormat="1" applyFont="1" applyFill="1" applyBorder="1"/>
    <xf numFmtId="4" fontId="6" fillId="2" borderId="1" xfId="0" applyNumberFormat="1" applyFont="1" applyFill="1" applyBorder="1"/>
    <xf numFmtId="1" fontId="6" fillId="2" borderId="1" xfId="0" applyNumberFormat="1" applyFont="1" applyFill="1" applyBorder="1"/>
    <xf numFmtId="165" fontId="6" fillId="2" borderId="1" xfId="0" applyNumberFormat="1" applyFont="1" applyFill="1" applyBorder="1"/>
    <xf numFmtId="2" fontId="8" fillId="3" borderId="1" xfId="0" applyNumberFormat="1" applyFont="1" applyFill="1" applyBorder="1"/>
    <xf numFmtId="164" fontId="8" fillId="3" borderId="1" xfId="0" applyNumberFormat="1" applyFont="1" applyFill="1" applyBorder="1"/>
    <xf numFmtId="166" fontId="8" fillId="3" borderId="1" xfId="0" applyNumberFormat="1" applyFont="1" applyFill="1" applyBorder="1"/>
    <xf numFmtId="165" fontId="8" fillId="3" borderId="1" xfId="0" applyNumberFormat="1" applyFont="1" applyFill="1" applyBorder="1"/>
    <xf numFmtId="3" fontId="8" fillId="3" borderId="1" xfId="0" applyNumberFormat="1" applyFont="1" applyFill="1" applyBorder="1"/>
    <xf numFmtId="4" fontId="0" fillId="0" borderId="0" xfId="0" applyNumberFormat="1"/>
    <xf numFmtId="167" fontId="0" fillId="0" borderId="0" xfId="0" applyNumberFormat="1"/>
    <xf numFmtId="0" fontId="8" fillId="0" borderId="0" xfId="0" applyFont="1"/>
    <xf numFmtId="168" fontId="8" fillId="3" borderId="1" xfId="0" applyNumberFormat="1" applyFont="1" applyFill="1" applyBorder="1"/>
    <xf numFmtId="4" fontId="8" fillId="3" borderId="1" xfId="0" applyNumberFormat="1" applyFont="1" applyFill="1" applyBorder="1"/>
    <xf numFmtId="2" fontId="6" fillId="2" borderId="1" xfId="0" applyNumberFormat="1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A19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6" spans="1:1" x14ac:dyDescent="0.25">
      <c r="A6" s="4" t="s">
        <v>3</v>
      </c>
    </row>
    <row r="7" spans="1:1" x14ac:dyDescent="0.25">
      <c r="A7" s="5" t="s">
        <v>4</v>
      </c>
    </row>
    <row r="8" spans="1:1" x14ac:dyDescent="0.25">
      <c r="A8" s="5" t="s">
        <v>5</v>
      </c>
    </row>
    <row r="9" spans="1:1" x14ac:dyDescent="0.25">
      <c r="A9" s="5" t="s">
        <v>6</v>
      </c>
    </row>
    <row r="10" spans="1:1" x14ac:dyDescent="0.25">
      <c r="A10" s="5" t="s">
        <v>7</v>
      </c>
    </row>
    <row r="11" spans="1:1" x14ac:dyDescent="0.25">
      <c r="A11" s="4" t="s">
        <v>8</v>
      </c>
    </row>
    <row r="12" spans="1:1" x14ac:dyDescent="0.25">
      <c r="A12" s="5" t="s">
        <v>9</v>
      </c>
    </row>
    <row r="13" spans="1:1" x14ac:dyDescent="0.25">
      <c r="A13" s="5" t="s">
        <v>10</v>
      </c>
    </row>
    <row r="14" spans="1:1" x14ac:dyDescent="0.25">
      <c r="A14" s="5" t="s">
        <v>11</v>
      </c>
    </row>
    <row r="15" spans="1:1" x14ac:dyDescent="0.25">
      <c r="A15" s="5" t="s">
        <v>12</v>
      </c>
    </row>
    <row r="16" spans="1:1" x14ac:dyDescent="0.25">
      <c r="A16" s="5" t="s">
        <v>13</v>
      </c>
    </row>
    <row r="17" spans="1:1" x14ac:dyDescent="0.25">
      <c r="A17" s="4" t="s">
        <v>14</v>
      </c>
    </row>
    <row r="18" spans="1:1" x14ac:dyDescent="0.25">
      <c r="A18" s="5" t="s">
        <v>15</v>
      </c>
    </row>
    <row r="19" spans="1:1" x14ac:dyDescent="0.25">
      <c r="A19" s="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44" customWidth="1"/>
    <col min="2" max="2" width="14" customWidth="1"/>
    <col min="3" max="3" width="16" customWidth="1"/>
    <col min="4" max="4" width="60" customWidth="1"/>
  </cols>
  <sheetData>
    <row r="1" spans="1:1" x14ac:dyDescent="0.25">
      <c r="A1" s="6" t="s">
        <v>17</v>
      </c>
    </row>
    <row r="2" spans="1:1" x14ac:dyDescent="0.25">
      <c r="A2" s="7" t="s">
        <v>18</v>
      </c>
    </row>
    <row r="4" ht="32" customHeight="1" spans="1:4" x14ac:dyDescent="0.25">
      <c r="A4" s="8" t="s">
        <v>19</v>
      </c>
      <c r="B4" s="8" t="s">
        <v>20</v>
      </c>
      <c r="C4" s="8" t="s">
        <v>21</v>
      </c>
      <c r="D4" s="8" t="s">
        <v>22</v>
      </c>
    </row>
    <row r="5" spans="1:4" x14ac:dyDescent="0.25">
      <c r="A5" t="s">
        <v>23</v>
      </c>
      <c r="B5" s="9">
        <v>1100</v>
      </c>
      <c r="C5" t="s">
        <v>24</v>
      </c>
      <c r="D5" s="10" t="s">
        <v>25</v>
      </c>
    </row>
    <row r="6" spans="1:4" x14ac:dyDescent="0.25">
      <c r="A6" t="s">
        <v>26</v>
      </c>
      <c r="B6" s="9">
        <v>1430</v>
      </c>
      <c r="C6" t="s">
        <v>27</v>
      </c>
      <c r="D6" s="10" t="s">
        <v>28</v>
      </c>
    </row>
    <row r="7" spans="1:4" x14ac:dyDescent="0.25">
      <c r="A7" t="s">
        <v>29</v>
      </c>
      <c r="B7" s="9">
        <v>2100</v>
      </c>
      <c r="C7" t="s">
        <v>30</v>
      </c>
      <c r="D7" s="10" t="s">
        <v>31</v>
      </c>
    </row>
    <row r="8" spans="1:4" x14ac:dyDescent="0.25">
      <c r="A8" t="s">
        <v>32</v>
      </c>
      <c r="B8" s="11">
        <v>0.004</v>
      </c>
      <c r="C8" t="s">
        <v>33</v>
      </c>
      <c r="D8" s="10" t="s">
        <v>34</v>
      </c>
    </row>
    <row r="9" spans="1:4" x14ac:dyDescent="0.25">
      <c r="A9" t="s">
        <v>35</v>
      </c>
      <c r="B9" s="12">
        <v>560</v>
      </c>
      <c r="C9" t="s">
        <v>36</v>
      </c>
      <c r="D9" s="10" t="s">
        <v>37</v>
      </c>
    </row>
    <row r="10" spans="1:4" x14ac:dyDescent="0.25">
      <c r="A10" t="s">
        <v>38</v>
      </c>
      <c r="B10" s="13">
        <v>7.5</v>
      </c>
      <c r="C10" t="s">
        <v>39</v>
      </c>
      <c r="D10" s="10" t="s">
        <v>40</v>
      </c>
    </row>
    <row r="11" spans="1:4" x14ac:dyDescent="0.25">
      <c r="A11" t="s">
        <v>41</v>
      </c>
      <c r="B11" s="11">
        <v>0.02</v>
      </c>
      <c r="C11" t="s">
        <v>33</v>
      </c>
      <c r="D11" s="10" t="s">
        <v>25</v>
      </c>
    </row>
    <row r="12" spans="1:4" x14ac:dyDescent="0.25">
      <c r="A12" t="s">
        <v>42</v>
      </c>
      <c r="B12" s="11">
        <v>0.062</v>
      </c>
      <c r="C12" t="s">
        <v>33</v>
      </c>
      <c r="D12" s="10" t="s">
        <v>43</v>
      </c>
    </row>
    <row r="13" spans="1:4" x14ac:dyDescent="0.25">
      <c r="A13" t="s">
        <v>44</v>
      </c>
      <c r="B13" s="14">
        <v>30</v>
      </c>
      <c r="C13" t="s">
        <v>45</v>
      </c>
      <c r="D13" s="10" t="s">
        <v>46</v>
      </c>
    </row>
    <row r="14" spans="1:4" x14ac:dyDescent="0.25">
      <c r="A14" t="s">
        <v>47</v>
      </c>
      <c r="B14" s="15">
        <v>3.25</v>
      </c>
      <c r="C14" t="s">
        <v>48</v>
      </c>
      <c r="D14" s="10" t="s">
        <v>25</v>
      </c>
    </row>
    <row r="17" ht="32" customHeight="1" spans="1:4" x14ac:dyDescent="0.25">
      <c r="A17" s="8" t="s">
        <v>49</v>
      </c>
      <c r="B17" s="8" t="s">
        <v>20</v>
      </c>
      <c r="C17" s="8" t="s">
        <v>21</v>
      </c>
      <c r="D17" s="8" t="s">
        <v>50</v>
      </c>
    </row>
    <row r="18" spans="1:4" x14ac:dyDescent="0.25">
      <c r="A18" t="s">
        <v>51</v>
      </c>
      <c r="B18" s="16">
        <f>'Inputs'!$B$6/'Inputs'!$B$5</f>
      </c>
      <c r="C18" t="s">
        <v>52</v>
      </c>
      <c r="D18" s="10" t="s">
        <v>25</v>
      </c>
    </row>
    <row r="19" spans="1:4" x14ac:dyDescent="0.25">
      <c r="A19" t="s">
        <v>53</v>
      </c>
      <c r="B19" s="17">
        <f>'Inputs'!$B$6*'Inputs'!$B$7/1000</f>
      </c>
      <c r="C19" t="s">
        <v>54</v>
      </c>
      <c r="D19" s="10" t="s">
        <v>55</v>
      </c>
    </row>
    <row r="20" spans="1:4" x14ac:dyDescent="0.25">
      <c r="A20" t="s">
        <v>56</v>
      </c>
      <c r="B20" s="18">
        <f>('Inputs'!$B$6*'Inputs'!$B$7/1000)/('Inputs'!$B$5*8.76)</f>
      </c>
      <c r="C20" t="s">
        <v>57</v>
      </c>
      <c r="D20" s="10" t="s">
        <v>58</v>
      </c>
    </row>
    <row r="21" spans="1:4" x14ac:dyDescent="0.25">
      <c r="A21" t="s">
        <v>59</v>
      </c>
      <c r="B21" s="19">
        <f>'Inputs'!$B$9/'Inputs'!$B$6</f>
      </c>
      <c r="C21" t="s">
        <v>60</v>
      </c>
      <c r="D21" s="10" t="s">
        <v>25</v>
      </c>
    </row>
    <row r="22" spans="1:4" x14ac:dyDescent="0.25">
      <c r="A22" t="s">
        <v>61</v>
      </c>
      <c r="B22" s="20">
        <f>'Inputs'!$B$9*1000/'Inputs'!$B$5</f>
      </c>
      <c r="C22" t="s">
        <v>62</v>
      </c>
      <c r="D22" s="1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6" width="13" customWidth="1"/>
    <col min="7" max="8" width="15" customWidth="1"/>
  </cols>
  <sheetData>
    <row r="1" spans="1:1" x14ac:dyDescent="0.25">
      <c r="A1" s="6" t="s">
        <v>63</v>
      </c>
    </row>
    <row r="2" spans="1:1" x14ac:dyDescent="0.25">
      <c r="A2" s="7" t="s">
        <v>64</v>
      </c>
    </row>
    <row r="4" ht="32" customHeight="1" spans="1:8" x14ac:dyDescent="0.25">
      <c r="A4" s="8" t="s">
        <v>65</v>
      </c>
      <c r="B4" s="8" t="s">
        <v>66</v>
      </c>
      <c r="C4" s="8" t="s">
        <v>67</v>
      </c>
      <c r="D4" s="8" t="s">
        <v>68</v>
      </c>
      <c r="E4" s="8" t="s">
        <v>69</v>
      </c>
      <c r="F4" s="8" t="s">
        <v>70</v>
      </c>
      <c r="G4" s="8" t="s">
        <v>71</v>
      </c>
      <c r="H4" s="8" t="s">
        <v>72</v>
      </c>
    </row>
    <row r="5" spans="1:8" x14ac:dyDescent="0.25">
      <c r="A5">
        <v>0</v>
      </c>
      <c r="B5">
        <f>IF(AND(A5&gt;=1,A5&lt;='Inputs'!$B$13),1,0)</f>
      </c>
      <c r="C5" s="21">
        <f>B5*'Inputs'!$B$19*(1-'Inputs'!$B$8)^(A5-1)</f>
      </c>
      <c r="D5" s="21">
        <f>B5*'Inputs'!$B$10*(1+'Inputs'!$B$11)^(A5-1)</f>
      </c>
      <c r="E5" s="21">
        <f>IF(A5=0,'Inputs'!$B$9,0)</f>
      </c>
      <c r="F5" s="22">
        <f>1/(1+'Inputs'!$B$12)^A5</f>
      </c>
      <c r="G5" s="21">
        <f>C5*F5</f>
      </c>
      <c r="H5" s="21">
        <f>(D5+E5)*F5</f>
      </c>
    </row>
    <row r="6" spans="1:8" x14ac:dyDescent="0.25">
      <c r="A6">
        <v>1</v>
      </c>
      <c r="B6">
        <f>IF(AND(A6&gt;=1,A6&lt;='Inputs'!$B$13),1,0)</f>
      </c>
      <c r="C6" s="21">
        <f>B6*'Inputs'!$B$19*(1-'Inputs'!$B$8)^(A6-1)</f>
      </c>
      <c r="D6" s="21">
        <f>B6*'Inputs'!$B$10*(1+'Inputs'!$B$11)^(A6-1)</f>
      </c>
      <c r="E6" s="21">
        <f>IF(A6=0,'Inputs'!$B$9,0)</f>
      </c>
      <c r="F6" s="22">
        <f>1/(1+'Inputs'!$B$12)^A6</f>
      </c>
      <c r="G6" s="21">
        <f>C6*F6</f>
      </c>
      <c r="H6" s="21">
        <f>(D6+E6)*F6</f>
      </c>
    </row>
    <row r="7" spans="1:8" x14ac:dyDescent="0.25">
      <c r="A7">
        <v>2</v>
      </c>
      <c r="B7">
        <f>IF(AND(A7&gt;=1,A7&lt;='Inputs'!$B$13),1,0)</f>
      </c>
      <c r="C7" s="21">
        <f>B7*'Inputs'!$B$19*(1-'Inputs'!$B$8)^(A7-1)</f>
      </c>
      <c r="D7" s="21">
        <f>B7*'Inputs'!$B$10*(1+'Inputs'!$B$11)^(A7-1)</f>
      </c>
      <c r="E7" s="21">
        <f>IF(A7=0,'Inputs'!$B$9,0)</f>
      </c>
      <c r="F7" s="22">
        <f>1/(1+'Inputs'!$B$12)^A7</f>
      </c>
      <c r="G7" s="21">
        <f>C7*F7</f>
      </c>
      <c r="H7" s="21">
        <f>(D7+E7)*F7</f>
      </c>
    </row>
    <row r="8" spans="1:8" x14ac:dyDescent="0.25">
      <c r="A8">
        <v>3</v>
      </c>
      <c r="B8">
        <f>IF(AND(A8&gt;=1,A8&lt;='Inputs'!$B$13),1,0)</f>
      </c>
      <c r="C8" s="21">
        <f>B8*'Inputs'!$B$19*(1-'Inputs'!$B$8)^(A8-1)</f>
      </c>
      <c r="D8" s="21">
        <f>B8*'Inputs'!$B$10*(1+'Inputs'!$B$11)^(A8-1)</f>
      </c>
      <c r="E8" s="21">
        <f>IF(A8=0,'Inputs'!$B$9,0)</f>
      </c>
      <c r="F8" s="22">
        <f>1/(1+'Inputs'!$B$12)^A8</f>
      </c>
      <c r="G8" s="21">
        <f>C8*F8</f>
      </c>
      <c r="H8" s="21">
        <f>(D8+E8)*F8</f>
      </c>
    </row>
    <row r="9" spans="1:8" x14ac:dyDescent="0.25">
      <c r="A9">
        <v>4</v>
      </c>
      <c r="B9">
        <f>IF(AND(A9&gt;=1,A9&lt;='Inputs'!$B$13),1,0)</f>
      </c>
      <c r="C9" s="21">
        <f>B9*'Inputs'!$B$19*(1-'Inputs'!$B$8)^(A9-1)</f>
      </c>
      <c r="D9" s="21">
        <f>B9*'Inputs'!$B$10*(1+'Inputs'!$B$11)^(A9-1)</f>
      </c>
      <c r="E9" s="21">
        <f>IF(A9=0,'Inputs'!$B$9,0)</f>
      </c>
      <c r="F9" s="22">
        <f>1/(1+'Inputs'!$B$12)^A9</f>
      </c>
      <c r="G9" s="21">
        <f>C9*F9</f>
      </c>
      <c r="H9" s="21">
        <f>(D9+E9)*F9</f>
      </c>
    </row>
    <row r="10" spans="1:8" x14ac:dyDescent="0.25">
      <c r="A10">
        <v>5</v>
      </c>
      <c r="B10">
        <f>IF(AND(A10&gt;=1,A10&lt;='Inputs'!$B$13),1,0)</f>
      </c>
      <c r="C10" s="21">
        <f>B10*'Inputs'!$B$19*(1-'Inputs'!$B$8)^(A10-1)</f>
      </c>
      <c r="D10" s="21">
        <f>B10*'Inputs'!$B$10*(1+'Inputs'!$B$11)^(A10-1)</f>
      </c>
      <c r="E10" s="21">
        <f>IF(A10=0,'Inputs'!$B$9,0)</f>
      </c>
      <c r="F10" s="22">
        <f>1/(1+'Inputs'!$B$12)^A10</f>
      </c>
      <c r="G10" s="21">
        <f>C10*F10</f>
      </c>
      <c r="H10" s="21">
        <f>(D10+E10)*F10</f>
      </c>
    </row>
    <row r="11" spans="1:8" x14ac:dyDescent="0.25">
      <c r="A11">
        <v>6</v>
      </c>
      <c r="B11">
        <f>IF(AND(A11&gt;=1,A11&lt;='Inputs'!$B$13),1,0)</f>
      </c>
      <c r="C11" s="21">
        <f>B11*'Inputs'!$B$19*(1-'Inputs'!$B$8)^(A11-1)</f>
      </c>
      <c r="D11" s="21">
        <f>B11*'Inputs'!$B$10*(1+'Inputs'!$B$11)^(A11-1)</f>
      </c>
      <c r="E11" s="21">
        <f>IF(A11=0,'Inputs'!$B$9,0)</f>
      </c>
      <c r="F11" s="22">
        <f>1/(1+'Inputs'!$B$12)^A11</f>
      </c>
      <c r="G11" s="21">
        <f>C11*F11</f>
      </c>
      <c r="H11" s="21">
        <f>(D11+E11)*F11</f>
      </c>
    </row>
    <row r="12" spans="1:8" x14ac:dyDescent="0.25">
      <c r="A12">
        <v>7</v>
      </c>
      <c r="B12">
        <f>IF(AND(A12&gt;=1,A12&lt;='Inputs'!$B$13),1,0)</f>
      </c>
      <c r="C12" s="21">
        <f>B12*'Inputs'!$B$19*(1-'Inputs'!$B$8)^(A12-1)</f>
      </c>
      <c r="D12" s="21">
        <f>B12*'Inputs'!$B$10*(1+'Inputs'!$B$11)^(A12-1)</f>
      </c>
      <c r="E12" s="21">
        <f>IF(A12=0,'Inputs'!$B$9,0)</f>
      </c>
      <c r="F12" s="22">
        <f>1/(1+'Inputs'!$B$12)^A12</f>
      </c>
      <c r="G12" s="21">
        <f>C12*F12</f>
      </c>
      <c r="H12" s="21">
        <f>(D12+E12)*F12</f>
      </c>
    </row>
    <row r="13" spans="1:8" x14ac:dyDescent="0.25">
      <c r="A13">
        <v>8</v>
      </c>
      <c r="B13">
        <f>IF(AND(A13&gt;=1,A13&lt;='Inputs'!$B$13),1,0)</f>
      </c>
      <c r="C13" s="21">
        <f>B13*'Inputs'!$B$19*(1-'Inputs'!$B$8)^(A13-1)</f>
      </c>
      <c r="D13" s="21">
        <f>B13*'Inputs'!$B$10*(1+'Inputs'!$B$11)^(A13-1)</f>
      </c>
      <c r="E13" s="21">
        <f>IF(A13=0,'Inputs'!$B$9,0)</f>
      </c>
      <c r="F13" s="22">
        <f>1/(1+'Inputs'!$B$12)^A13</f>
      </c>
      <c r="G13" s="21">
        <f>C13*F13</f>
      </c>
      <c r="H13" s="21">
        <f>(D13+E13)*F13</f>
      </c>
    </row>
    <row r="14" spans="1:8" x14ac:dyDescent="0.25">
      <c r="A14">
        <v>9</v>
      </c>
      <c r="B14">
        <f>IF(AND(A14&gt;=1,A14&lt;='Inputs'!$B$13),1,0)</f>
      </c>
      <c r="C14" s="21">
        <f>B14*'Inputs'!$B$19*(1-'Inputs'!$B$8)^(A14-1)</f>
      </c>
      <c r="D14" s="21">
        <f>B14*'Inputs'!$B$10*(1+'Inputs'!$B$11)^(A14-1)</f>
      </c>
      <c r="E14" s="21">
        <f>IF(A14=0,'Inputs'!$B$9,0)</f>
      </c>
      <c r="F14" s="22">
        <f>1/(1+'Inputs'!$B$12)^A14</f>
      </c>
      <c r="G14" s="21">
        <f>C14*F14</f>
      </c>
      <c r="H14" s="21">
        <f>(D14+E14)*F14</f>
      </c>
    </row>
    <row r="15" spans="1:8" x14ac:dyDescent="0.25">
      <c r="A15">
        <v>10</v>
      </c>
      <c r="B15">
        <f>IF(AND(A15&gt;=1,A15&lt;='Inputs'!$B$13),1,0)</f>
      </c>
      <c r="C15" s="21">
        <f>B15*'Inputs'!$B$19*(1-'Inputs'!$B$8)^(A15-1)</f>
      </c>
      <c r="D15" s="21">
        <f>B15*'Inputs'!$B$10*(1+'Inputs'!$B$11)^(A15-1)</f>
      </c>
      <c r="E15" s="21">
        <f>IF(A15=0,'Inputs'!$B$9,0)</f>
      </c>
      <c r="F15" s="22">
        <f>1/(1+'Inputs'!$B$12)^A15</f>
      </c>
      <c r="G15" s="21">
        <f>C15*F15</f>
      </c>
      <c r="H15" s="21">
        <f>(D15+E15)*F15</f>
      </c>
    </row>
    <row r="16" spans="1:8" x14ac:dyDescent="0.25">
      <c r="A16">
        <v>11</v>
      </c>
      <c r="B16">
        <f>IF(AND(A16&gt;=1,A16&lt;='Inputs'!$B$13),1,0)</f>
      </c>
      <c r="C16" s="21">
        <f>B16*'Inputs'!$B$19*(1-'Inputs'!$B$8)^(A16-1)</f>
      </c>
      <c r="D16" s="21">
        <f>B16*'Inputs'!$B$10*(1+'Inputs'!$B$11)^(A16-1)</f>
      </c>
      <c r="E16" s="21">
        <f>IF(A16=0,'Inputs'!$B$9,0)</f>
      </c>
      <c r="F16" s="22">
        <f>1/(1+'Inputs'!$B$12)^A16</f>
      </c>
      <c r="G16" s="21">
        <f>C16*F16</f>
      </c>
      <c r="H16" s="21">
        <f>(D16+E16)*F16</f>
      </c>
    </row>
    <row r="17" spans="1:8" x14ac:dyDescent="0.25">
      <c r="A17">
        <v>12</v>
      </c>
      <c r="B17">
        <f>IF(AND(A17&gt;=1,A17&lt;='Inputs'!$B$13),1,0)</f>
      </c>
      <c r="C17" s="21">
        <f>B17*'Inputs'!$B$19*(1-'Inputs'!$B$8)^(A17-1)</f>
      </c>
      <c r="D17" s="21">
        <f>B17*'Inputs'!$B$10*(1+'Inputs'!$B$11)^(A17-1)</f>
      </c>
      <c r="E17" s="21">
        <f>IF(A17=0,'Inputs'!$B$9,0)</f>
      </c>
      <c r="F17" s="22">
        <f>1/(1+'Inputs'!$B$12)^A17</f>
      </c>
      <c r="G17" s="21">
        <f>C17*F17</f>
      </c>
      <c r="H17" s="21">
        <f>(D17+E17)*F17</f>
      </c>
    </row>
    <row r="18" spans="1:8" x14ac:dyDescent="0.25">
      <c r="A18">
        <v>13</v>
      </c>
      <c r="B18">
        <f>IF(AND(A18&gt;=1,A18&lt;='Inputs'!$B$13),1,0)</f>
      </c>
      <c r="C18" s="21">
        <f>B18*'Inputs'!$B$19*(1-'Inputs'!$B$8)^(A18-1)</f>
      </c>
      <c r="D18" s="21">
        <f>B18*'Inputs'!$B$10*(1+'Inputs'!$B$11)^(A18-1)</f>
      </c>
      <c r="E18" s="21">
        <f>IF(A18=0,'Inputs'!$B$9,0)</f>
      </c>
      <c r="F18" s="22">
        <f>1/(1+'Inputs'!$B$12)^A18</f>
      </c>
      <c r="G18" s="21">
        <f>C18*F18</f>
      </c>
      <c r="H18" s="21">
        <f>(D18+E18)*F18</f>
      </c>
    </row>
    <row r="19" spans="1:8" x14ac:dyDescent="0.25">
      <c r="A19">
        <v>14</v>
      </c>
      <c r="B19">
        <f>IF(AND(A19&gt;=1,A19&lt;='Inputs'!$B$13),1,0)</f>
      </c>
      <c r="C19" s="21">
        <f>B19*'Inputs'!$B$19*(1-'Inputs'!$B$8)^(A19-1)</f>
      </c>
      <c r="D19" s="21">
        <f>B19*'Inputs'!$B$10*(1+'Inputs'!$B$11)^(A19-1)</f>
      </c>
      <c r="E19" s="21">
        <f>IF(A19=0,'Inputs'!$B$9,0)</f>
      </c>
      <c r="F19" s="22">
        <f>1/(1+'Inputs'!$B$12)^A19</f>
      </c>
      <c r="G19" s="21">
        <f>C19*F19</f>
      </c>
      <c r="H19" s="21">
        <f>(D19+E19)*F19</f>
      </c>
    </row>
    <row r="20" spans="1:8" x14ac:dyDescent="0.25">
      <c r="A20">
        <v>15</v>
      </c>
      <c r="B20">
        <f>IF(AND(A20&gt;=1,A20&lt;='Inputs'!$B$13),1,0)</f>
      </c>
      <c r="C20" s="21">
        <f>B20*'Inputs'!$B$19*(1-'Inputs'!$B$8)^(A20-1)</f>
      </c>
      <c r="D20" s="21">
        <f>B20*'Inputs'!$B$10*(1+'Inputs'!$B$11)^(A20-1)</f>
      </c>
      <c r="E20" s="21">
        <f>IF(A20=0,'Inputs'!$B$9,0)</f>
      </c>
      <c r="F20" s="22">
        <f>1/(1+'Inputs'!$B$12)^A20</f>
      </c>
      <c r="G20" s="21">
        <f>C20*F20</f>
      </c>
      <c r="H20" s="21">
        <f>(D20+E20)*F20</f>
      </c>
    </row>
    <row r="21" spans="1:8" x14ac:dyDescent="0.25">
      <c r="A21">
        <v>16</v>
      </c>
      <c r="B21">
        <f>IF(AND(A21&gt;=1,A21&lt;='Inputs'!$B$13),1,0)</f>
      </c>
      <c r="C21" s="21">
        <f>B21*'Inputs'!$B$19*(1-'Inputs'!$B$8)^(A21-1)</f>
      </c>
      <c r="D21" s="21">
        <f>B21*'Inputs'!$B$10*(1+'Inputs'!$B$11)^(A21-1)</f>
      </c>
      <c r="E21" s="21">
        <f>IF(A21=0,'Inputs'!$B$9,0)</f>
      </c>
      <c r="F21" s="22">
        <f>1/(1+'Inputs'!$B$12)^A21</f>
      </c>
      <c r="G21" s="21">
        <f>C21*F21</f>
      </c>
      <c r="H21" s="21">
        <f>(D21+E21)*F21</f>
      </c>
    </row>
    <row r="22" spans="1:8" x14ac:dyDescent="0.25">
      <c r="A22">
        <v>17</v>
      </c>
      <c r="B22">
        <f>IF(AND(A22&gt;=1,A22&lt;='Inputs'!$B$13),1,0)</f>
      </c>
      <c r="C22" s="21">
        <f>B22*'Inputs'!$B$19*(1-'Inputs'!$B$8)^(A22-1)</f>
      </c>
      <c r="D22" s="21">
        <f>B22*'Inputs'!$B$10*(1+'Inputs'!$B$11)^(A22-1)</f>
      </c>
      <c r="E22" s="21">
        <f>IF(A22=0,'Inputs'!$B$9,0)</f>
      </c>
      <c r="F22" s="22">
        <f>1/(1+'Inputs'!$B$12)^A22</f>
      </c>
      <c r="G22" s="21">
        <f>C22*F22</f>
      </c>
      <c r="H22" s="21">
        <f>(D22+E22)*F22</f>
      </c>
    </row>
    <row r="23" spans="1:8" x14ac:dyDescent="0.25">
      <c r="A23">
        <v>18</v>
      </c>
      <c r="B23">
        <f>IF(AND(A23&gt;=1,A23&lt;='Inputs'!$B$13),1,0)</f>
      </c>
      <c r="C23" s="21">
        <f>B23*'Inputs'!$B$19*(1-'Inputs'!$B$8)^(A23-1)</f>
      </c>
      <c r="D23" s="21">
        <f>B23*'Inputs'!$B$10*(1+'Inputs'!$B$11)^(A23-1)</f>
      </c>
      <c r="E23" s="21">
        <f>IF(A23=0,'Inputs'!$B$9,0)</f>
      </c>
      <c r="F23" s="22">
        <f>1/(1+'Inputs'!$B$12)^A23</f>
      </c>
      <c r="G23" s="21">
        <f>C23*F23</f>
      </c>
      <c r="H23" s="21">
        <f>(D23+E23)*F23</f>
      </c>
    </row>
    <row r="24" spans="1:8" x14ac:dyDescent="0.25">
      <c r="A24">
        <v>19</v>
      </c>
      <c r="B24">
        <f>IF(AND(A24&gt;=1,A24&lt;='Inputs'!$B$13),1,0)</f>
      </c>
      <c r="C24" s="21">
        <f>B24*'Inputs'!$B$19*(1-'Inputs'!$B$8)^(A24-1)</f>
      </c>
      <c r="D24" s="21">
        <f>B24*'Inputs'!$B$10*(1+'Inputs'!$B$11)^(A24-1)</f>
      </c>
      <c r="E24" s="21">
        <f>IF(A24=0,'Inputs'!$B$9,0)</f>
      </c>
      <c r="F24" s="22">
        <f>1/(1+'Inputs'!$B$12)^A24</f>
      </c>
      <c r="G24" s="21">
        <f>C24*F24</f>
      </c>
      <c r="H24" s="21">
        <f>(D24+E24)*F24</f>
      </c>
    </row>
    <row r="25" spans="1:8" x14ac:dyDescent="0.25">
      <c r="A25">
        <v>20</v>
      </c>
      <c r="B25">
        <f>IF(AND(A25&gt;=1,A25&lt;='Inputs'!$B$13),1,0)</f>
      </c>
      <c r="C25" s="21">
        <f>B25*'Inputs'!$B$19*(1-'Inputs'!$B$8)^(A25-1)</f>
      </c>
      <c r="D25" s="21">
        <f>B25*'Inputs'!$B$10*(1+'Inputs'!$B$11)^(A25-1)</f>
      </c>
      <c r="E25" s="21">
        <f>IF(A25=0,'Inputs'!$B$9,0)</f>
      </c>
      <c r="F25" s="22">
        <f>1/(1+'Inputs'!$B$12)^A25</f>
      </c>
      <c r="G25" s="21">
        <f>C25*F25</f>
      </c>
      <c r="H25" s="21">
        <f>(D25+E25)*F25</f>
      </c>
    </row>
    <row r="26" spans="1:8" x14ac:dyDescent="0.25">
      <c r="A26">
        <v>21</v>
      </c>
      <c r="B26">
        <f>IF(AND(A26&gt;=1,A26&lt;='Inputs'!$B$13),1,0)</f>
      </c>
      <c r="C26" s="21">
        <f>B26*'Inputs'!$B$19*(1-'Inputs'!$B$8)^(A26-1)</f>
      </c>
      <c r="D26" s="21">
        <f>B26*'Inputs'!$B$10*(1+'Inputs'!$B$11)^(A26-1)</f>
      </c>
      <c r="E26" s="21">
        <f>IF(A26=0,'Inputs'!$B$9,0)</f>
      </c>
      <c r="F26" s="22">
        <f>1/(1+'Inputs'!$B$12)^A26</f>
      </c>
      <c r="G26" s="21">
        <f>C26*F26</f>
      </c>
      <c r="H26" s="21">
        <f>(D26+E26)*F26</f>
      </c>
    </row>
    <row r="27" spans="1:8" x14ac:dyDescent="0.25">
      <c r="A27">
        <v>22</v>
      </c>
      <c r="B27">
        <f>IF(AND(A27&gt;=1,A27&lt;='Inputs'!$B$13),1,0)</f>
      </c>
      <c r="C27" s="21">
        <f>B27*'Inputs'!$B$19*(1-'Inputs'!$B$8)^(A27-1)</f>
      </c>
      <c r="D27" s="21">
        <f>B27*'Inputs'!$B$10*(1+'Inputs'!$B$11)^(A27-1)</f>
      </c>
      <c r="E27" s="21">
        <f>IF(A27=0,'Inputs'!$B$9,0)</f>
      </c>
      <c r="F27" s="22">
        <f>1/(1+'Inputs'!$B$12)^A27</f>
      </c>
      <c r="G27" s="21">
        <f>C27*F27</f>
      </c>
      <c r="H27" s="21">
        <f>(D27+E27)*F27</f>
      </c>
    </row>
    <row r="28" spans="1:8" x14ac:dyDescent="0.25">
      <c r="A28">
        <v>23</v>
      </c>
      <c r="B28">
        <f>IF(AND(A28&gt;=1,A28&lt;='Inputs'!$B$13),1,0)</f>
      </c>
      <c r="C28" s="21">
        <f>B28*'Inputs'!$B$19*(1-'Inputs'!$B$8)^(A28-1)</f>
      </c>
      <c r="D28" s="21">
        <f>B28*'Inputs'!$B$10*(1+'Inputs'!$B$11)^(A28-1)</f>
      </c>
      <c r="E28" s="21">
        <f>IF(A28=0,'Inputs'!$B$9,0)</f>
      </c>
      <c r="F28" s="22">
        <f>1/(1+'Inputs'!$B$12)^A28</f>
      </c>
      <c r="G28" s="21">
        <f>C28*F28</f>
      </c>
      <c r="H28" s="21">
        <f>(D28+E28)*F28</f>
      </c>
    </row>
    <row r="29" spans="1:8" x14ac:dyDescent="0.25">
      <c r="A29">
        <v>24</v>
      </c>
      <c r="B29">
        <f>IF(AND(A29&gt;=1,A29&lt;='Inputs'!$B$13),1,0)</f>
      </c>
      <c r="C29" s="21">
        <f>B29*'Inputs'!$B$19*(1-'Inputs'!$B$8)^(A29-1)</f>
      </c>
      <c r="D29" s="21">
        <f>B29*'Inputs'!$B$10*(1+'Inputs'!$B$11)^(A29-1)</f>
      </c>
      <c r="E29" s="21">
        <f>IF(A29=0,'Inputs'!$B$9,0)</f>
      </c>
      <c r="F29" s="22">
        <f>1/(1+'Inputs'!$B$12)^A29</f>
      </c>
      <c r="G29" s="21">
        <f>C29*F29</f>
      </c>
      <c r="H29" s="21">
        <f>(D29+E29)*F29</f>
      </c>
    </row>
    <row r="30" spans="1:8" x14ac:dyDescent="0.25">
      <c r="A30">
        <v>25</v>
      </c>
      <c r="B30">
        <f>IF(AND(A30&gt;=1,A30&lt;='Inputs'!$B$13),1,0)</f>
      </c>
      <c r="C30" s="21">
        <f>B30*'Inputs'!$B$19*(1-'Inputs'!$B$8)^(A30-1)</f>
      </c>
      <c r="D30" s="21">
        <f>B30*'Inputs'!$B$10*(1+'Inputs'!$B$11)^(A30-1)</f>
      </c>
      <c r="E30" s="21">
        <f>IF(A30=0,'Inputs'!$B$9,0)</f>
      </c>
      <c r="F30" s="22">
        <f>1/(1+'Inputs'!$B$12)^A30</f>
      </c>
      <c r="G30" s="21">
        <f>C30*F30</f>
      </c>
      <c r="H30" s="21">
        <f>(D30+E30)*F30</f>
      </c>
    </row>
    <row r="31" spans="1:8" x14ac:dyDescent="0.25">
      <c r="A31">
        <v>26</v>
      </c>
      <c r="B31">
        <f>IF(AND(A31&gt;=1,A31&lt;='Inputs'!$B$13),1,0)</f>
      </c>
      <c r="C31" s="21">
        <f>B31*'Inputs'!$B$19*(1-'Inputs'!$B$8)^(A31-1)</f>
      </c>
      <c r="D31" s="21">
        <f>B31*'Inputs'!$B$10*(1+'Inputs'!$B$11)^(A31-1)</f>
      </c>
      <c r="E31" s="21">
        <f>IF(A31=0,'Inputs'!$B$9,0)</f>
      </c>
      <c r="F31" s="22">
        <f>1/(1+'Inputs'!$B$12)^A31</f>
      </c>
      <c r="G31" s="21">
        <f>C31*F31</f>
      </c>
      <c r="H31" s="21">
        <f>(D31+E31)*F31</f>
      </c>
    </row>
    <row r="32" spans="1:8" x14ac:dyDescent="0.25">
      <c r="A32">
        <v>27</v>
      </c>
      <c r="B32">
        <f>IF(AND(A32&gt;=1,A32&lt;='Inputs'!$B$13),1,0)</f>
      </c>
      <c r="C32" s="21">
        <f>B32*'Inputs'!$B$19*(1-'Inputs'!$B$8)^(A32-1)</f>
      </c>
      <c r="D32" s="21">
        <f>B32*'Inputs'!$B$10*(1+'Inputs'!$B$11)^(A32-1)</f>
      </c>
      <c r="E32" s="21">
        <f>IF(A32=0,'Inputs'!$B$9,0)</f>
      </c>
      <c r="F32" s="22">
        <f>1/(1+'Inputs'!$B$12)^A32</f>
      </c>
      <c r="G32" s="21">
        <f>C32*F32</f>
      </c>
      <c r="H32" s="21">
        <f>(D32+E32)*F32</f>
      </c>
    </row>
    <row r="33" spans="1:8" x14ac:dyDescent="0.25">
      <c r="A33">
        <v>28</v>
      </c>
      <c r="B33">
        <f>IF(AND(A33&gt;=1,A33&lt;='Inputs'!$B$13),1,0)</f>
      </c>
      <c r="C33" s="21">
        <f>B33*'Inputs'!$B$19*(1-'Inputs'!$B$8)^(A33-1)</f>
      </c>
      <c r="D33" s="21">
        <f>B33*'Inputs'!$B$10*(1+'Inputs'!$B$11)^(A33-1)</f>
      </c>
      <c r="E33" s="21">
        <f>IF(A33=0,'Inputs'!$B$9,0)</f>
      </c>
      <c r="F33" s="22">
        <f>1/(1+'Inputs'!$B$12)^A33</f>
      </c>
      <c r="G33" s="21">
        <f>C33*F33</f>
      </c>
      <c r="H33" s="21">
        <f>(D33+E33)*F33</f>
      </c>
    </row>
    <row r="34" spans="1:8" x14ac:dyDescent="0.25">
      <c r="A34">
        <v>29</v>
      </c>
      <c r="B34">
        <f>IF(AND(A34&gt;=1,A34&lt;='Inputs'!$B$13),1,0)</f>
      </c>
      <c r="C34" s="21">
        <f>B34*'Inputs'!$B$19*(1-'Inputs'!$B$8)^(A34-1)</f>
      </c>
      <c r="D34" s="21">
        <f>B34*'Inputs'!$B$10*(1+'Inputs'!$B$11)^(A34-1)</f>
      </c>
      <c r="E34" s="21">
        <f>IF(A34=0,'Inputs'!$B$9,0)</f>
      </c>
      <c r="F34" s="22">
        <f>1/(1+'Inputs'!$B$12)^A34</f>
      </c>
      <c r="G34" s="21">
        <f>C34*F34</f>
      </c>
      <c r="H34" s="21">
        <f>(D34+E34)*F34</f>
      </c>
    </row>
    <row r="35" spans="1:8" x14ac:dyDescent="0.25">
      <c r="A35">
        <v>30</v>
      </c>
      <c r="B35">
        <f>IF(AND(A35&gt;=1,A35&lt;='Inputs'!$B$13),1,0)</f>
      </c>
      <c r="C35" s="21">
        <f>B35*'Inputs'!$B$19*(1-'Inputs'!$B$8)^(A35-1)</f>
      </c>
      <c r="D35" s="21">
        <f>B35*'Inputs'!$B$10*(1+'Inputs'!$B$11)^(A35-1)</f>
      </c>
      <c r="E35" s="21">
        <f>IF(A35=0,'Inputs'!$B$9,0)</f>
      </c>
      <c r="F35" s="22">
        <f>1/(1+'Inputs'!$B$12)^A35</f>
      </c>
      <c r="G35" s="21">
        <f>C35*F35</f>
      </c>
      <c r="H35" s="21">
        <f>(D35+E35)*F35</f>
      </c>
    </row>
    <row r="36" spans="1:8" x14ac:dyDescent="0.25">
      <c r="A36">
        <v>31</v>
      </c>
      <c r="B36">
        <f>IF(AND(A36&gt;=1,A36&lt;='Inputs'!$B$13),1,0)</f>
      </c>
      <c r="C36" s="21">
        <f>B36*'Inputs'!$B$19*(1-'Inputs'!$B$8)^(A36-1)</f>
      </c>
      <c r="D36" s="21">
        <f>B36*'Inputs'!$B$10*(1+'Inputs'!$B$11)^(A36-1)</f>
      </c>
      <c r="E36" s="21">
        <f>IF(A36=0,'Inputs'!$B$9,0)</f>
      </c>
      <c r="F36" s="22">
        <f>1/(1+'Inputs'!$B$12)^A36</f>
      </c>
      <c r="G36" s="21">
        <f>C36*F36</f>
      </c>
      <c r="H36" s="21">
        <f>(D36+E36)*F36</f>
      </c>
    </row>
    <row r="37" spans="1:8" x14ac:dyDescent="0.25">
      <c r="A37">
        <v>32</v>
      </c>
      <c r="B37">
        <f>IF(AND(A37&gt;=1,A37&lt;='Inputs'!$B$13),1,0)</f>
      </c>
      <c r="C37" s="21">
        <f>B37*'Inputs'!$B$19*(1-'Inputs'!$B$8)^(A37-1)</f>
      </c>
      <c r="D37" s="21">
        <f>B37*'Inputs'!$B$10*(1+'Inputs'!$B$11)^(A37-1)</f>
      </c>
      <c r="E37" s="21">
        <f>IF(A37=0,'Inputs'!$B$9,0)</f>
      </c>
      <c r="F37" s="22">
        <f>1/(1+'Inputs'!$B$12)^A37</f>
      </c>
      <c r="G37" s="21">
        <f>C37*F37</f>
      </c>
      <c r="H37" s="21">
        <f>(D37+E37)*F37</f>
      </c>
    </row>
    <row r="38" spans="1:8" x14ac:dyDescent="0.25">
      <c r="A38">
        <v>33</v>
      </c>
      <c r="B38">
        <f>IF(AND(A38&gt;=1,A38&lt;='Inputs'!$B$13),1,0)</f>
      </c>
      <c r="C38" s="21">
        <f>B38*'Inputs'!$B$19*(1-'Inputs'!$B$8)^(A38-1)</f>
      </c>
      <c r="D38" s="21">
        <f>B38*'Inputs'!$B$10*(1+'Inputs'!$B$11)^(A38-1)</f>
      </c>
      <c r="E38" s="21">
        <f>IF(A38=0,'Inputs'!$B$9,0)</f>
      </c>
      <c r="F38" s="22">
        <f>1/(1+'Inputs'!$B$12)^A38</f>
      </c>
      <c r="G38" s="21">
        <f>C38*F38</f>
      </c>
      <c r="H38" s="21">
        <f>(D38+E38)*F38</f>
      </c>
    </row>
    <row r="39" spans="1:8" x14ac:dyDescent="0.25">
      <c r="A39">
        <v>34</v>
      </c>
      <c r="B39">
        <f>IF(AND(A39&gt;=1,A39&lt;='Inputs'!$B$13),1,0)</f>
      </c>
      <c r="C39" s="21">
        <f>B39*'Inputs'!$B$19*(1-'Inputs'!$B$8)^(A39-1)</f>
      </c>
      <c r="D39" s="21">
        <f>B39*'Inputs'!$B$10*(1+'Inputs'!$B$11)^(A39-1)</f>
      </c>
      <c r="E39" s="21">
        <f>IF(A39=0,'Inputs'!$B$9,0)</f>
      </c>
      <c r="F39" s="22">
        <f>1/(1+'Inputs'!$B$12)^A39</f>
      </c>
      <c r="G39" s="21">
        <f>C39*F39</f>
      </c>
      <c r="H39" s="21">
        <f>(D39+E39)*F39</f>
      </c>
    </row>
    <row r="40" spans="1:8" x14ac:dyDescent="0.25">
      <c r="A40">
        <v>35</v>
      </c>
      <c r="B40">
        <f>IF(AND(A40&gt;=1,A40&lt;='Inputs'!$B$13),1,0)</f>
      </c>
      <c r="C40" s="21">
        <f>B40*'Inputs'!$B$19*(1-'Inputs'!$B$8)^(A40-1)</f>
      </c>
      <c r="D40" s="21">
        <f>B40*'Inputs'!$B$10*(1+'Inputs'!$B$11)^(A40-1)</f>
      </c>
      <c r="E40" s="21">
        <f>IF(A40=0,'Inputs'!$B$9,0)</f>
      </c>
      <c r="F40" s="22">
        <f>1/(1+'Inputs'!$B$12)^A40</f>
      </c>
      <c r="G40" s="21">
        <f>C40*F40</f>
      </c>
      <c r="H40" s="21">
        <f>(D40+E40)*F40</f>
      </c>
    </row>
    <row r="41" spans="1:8" x14ac:dyDescent="0.25">
      <c r="A41">
        <v>36</v>
      </c>
      <c r="B41">
        <f>IF(AND(A41&gt;=1,A41&lt;='Inputs'!$B$13),1,0)</f>
      </c>
      <c r="C41" s="21">
        <f>B41*'Inputs'!$B$19*(1-'Inputs'!$B$8)^(A41-1)</f>
      </c>
      <c r="D41" s="21">
        <f>B41*'Inputs'!$B$10*(1+'Inputs'!$B$11)^(A41-1)</f>
      </c>
      <c r="E41" s="21">
        <f>IF(A41=0,'Inputs'!$B$9,0)</f>
      </c>
      <c r="F41" s="22">
        <f>1/(1+'Inputs'!$B$12)^A41</f>
      </c>
      <c r="G41" s="21">
        <f>C41*F41</f>
      </c>
      <c r="H41" s="21">
        <f>(D41+E41)*F41</f>
      </c>
    </row>
    <row r="42" spans="1:8" x14ac:dyDescent="0.25">
      <c r="A42">
        <v>37</v>
      </c>
      <c r="B42">
        <f>IF(AND(A42&gt;=1,A42&lt;='Inputs'!$B$13),1,0)</f>
      </c>
      <c r="C42" s="21">
        <f>B42*'Inputs'!$B$19*(1-'Inputs'!$B$8)^(A42-1)</f>
      </c>
      <c r="D42" s="21">
        <f>B42*'Inputs'!$B$10*(1+'Inputs'!$B$11)^(A42-1)</f>
      </c>
      <c r="E42" s="21">
        <f>IF(A42=0,'Inputs'!$B$9,0)</f>
      </c>
      <c r="F42" s="22">
        <f>1/(1+'Inputs'!$B$12)^A42</f>
      </c>
      <c r="G42" s="21">
        <f>C42*F42</f>
      </c>
      <c r="H42" s="21">
        <f>(D42+E42)*F42</f>
      </c>
    </row>
    <row r="43" spans="1:8" x14ac:dyDescent="0.25">
      <c r="A43">
        <v>38</v>
      </c>
      <c r="B43">
        <f>IF(AND(A43&gt;=1,A43&lt;='Inputs'!$B$13),1,0)</f>
      </c>
      <c r="C43" s="21">
        <f>B43*'Inputs'!$B$19*(1-'Inputs'!$B$8)^(A43-1)</f>
      </c>
      <c r="D43" s="21">
        <f>B43*'Inputs'!$B$10*(1+'Inputs'!$B$11)^(A43-1)</f>
      </c>
      <c r="E43" s="21">
        <f>IF(A43=0,'Inputs'!$B$9,0)</f>
      </c>
      <c r="F43" s="22">
        <f>1/(1+'Inputs'!$B$12)^A43</f>
      </c>
      <c r="G43" s="21">
        <f>C43*F43</f>
      </c>
      <c r="H43" s="21">
        <f>(D43+E43)*F43</f>
      </c>
    </row>
    <row r="44" spans="1:8" x14ac:dyDescent="0.25">
      <c r="A44">
        <v>39</v>
      </c>
      <c r="B44">
        <f>IF(AND(A44&gt;=1,A44&lt;='Inputs'!$B$13),1,0)</f>
      </c>
      <c r="C44" s="21">
        <f>B44*'Inputs'!$B$19*(1-'Inputs'!$B$8)^(A44-1)</f>
      </c>
      <c r="D44" s="21">
        <f>B44*'Inputs'!$B$10*(1+'Inputs'!$B$11)^(A44-1)</f>
      </c>
      <c r="E44" s="21">
        <f>IF(A44=0,'Inputs'!$B$9,0)</f>
      </c>
      <c r="F44" s="22">
        <f>1/(1+'Inputs'!$B$12)^A44</f>
      </c>
      <c r="G44" s="21">
        <f>C44*F44</f>
      </c>
      <c r="H44" s="21">
        <f>(D44+E44)*F44</f>
      </c>
    </row>
    <row r="45" spans="1:8" x14ac:dyDescent="0.25">
      <c r="A45">
        <v>40</v>
      </c>
      <c r="B45">
        <f>IF(AND(A45&gt;=1,A45&lt;='Inputs'!$B$13),1,0)</f>
      </c>
      <c r="C45" s="21">
        <f>B45*'Inputs'!$B$19*(1-'Inputs'!$B$8)^(A45-1)</f>
      </c>
      <c r="D45" s="21">
        <f>B45*'Inputs'!$B$10*(1+'Inputs'!$B$11)^(A45-1)</f>
      </c>
      <c r="E45" s="21">
        <f>IF(A45=0,'Inputs'!$B$9,0)</f>
      </c>
      <c r="F45" s="22">
        <f>1/(1+'Inputs'!$B$12)^A45</f>
      </c>
      <c r="G45" s="21">
        <f>C45*F45</f>
      </c>
      <c r="H45" s="21">
        <f>(D45+E45)*F45</f>
      </c>
    </row>
    <row r="46" spans="1:8" x14ac:dyDescent="0.25">
      <c r="A46" s="23" t="s">
        <v>73</v>
      </c>
      <c r="C46" s="17">
        <f>SUM(C5:C45)</f>
      </c>
      <c r="D46" s="17">
        <f>SUM(D5:D45)</f>
      </c>
      <c r="E46" s="17">
        <f>SUM(E5:E45)</f>
      </c>
      <c r="G46" s="17">
        <f>SUM(G5:G45)</f>
      </c>
      <c r="H46" s="17">
        <f>SUM(H5:H45)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44" customWidth="1"/>
    <col min="2" max="2" width="14" customWidth="1"/>
    <col min="3" max="3" width="16" customWidth="1"/>
    <col min="4" max="4" width="70" customWidth="1"/>
  </cols>
  <sheetData>
    <row r="1" spans="1:1" x14ac:dyDescent="0.25">
      <c r="A1" s="6" t="s">
        <v>74</v>
      </c>
    </row>
    <row r="2" spans="1:1" x14ac:dyDescent="0.25">
      <c r="A2" s="7" t="s">
        <v>75</v>
      </c>
    </row>
    <row r="4" ht="32" customHeight="1" spans="1:4" x14ac:dyDescent="0.25">
      <c r="A4" s="8" t="s">
        <v>76</v>
      </c>
      <c r="B4" s="8" t="s">
        <v>20</v>
      </c>
      <c r="C4" s="8" t="s">
        <v>21</v>
      </c>
      <c r="D4" s="8" t="s">
        <v>50</v>
      </c>
    </row>
    <row r="5" spans="1:4" x14ac:dyDescent="0.25">
      <c r="A5" t="s">
        <v>77</v>
      </c>
      <c r="B5" s="17">
        <f>Calc!H46</f>
      </c>
      <c r="C5" t="s">
        <v>36</v>
      </c>
      <c r="D5" s="10" t="s">
        <v>25</v>
      </c>
    </row>
    <row r="6" spans="1:4" x14ac:dyDescent="0.25">
      <c r="A6" t="s">
        <v>78</v>
      </c>
      <c r="B6" s="17">
        <f>Calc!G46</f>
      </c>
      <c r="C6" t="s">
        <v>54</v>
      </c>
      <c r="D6" s="10" t="s">
        <v>25</v>
      </c>
    </row>
    <row r="7" spans="1:4" x14ac:dyDescent="0.25">
      <c r="A7" t="s">
        <v>79</v>
      </c>
      <c r="B7" s="24">
        <f>B5/B6</f>
      </c>
      <c r="C7" t="s">
        <v>80</v>
      </c>
      <c r="D7" s="10" t="s">
        <v>81</v>
      </c>
    </row>
    <row r="8" spans="1:4" x14ac:dyDescent="0.25">
      <c r="A8" t="s">
        <v>79</v>
      </c>
      <c r="B8" s="16">
        <f>B7*1000</f>
      </c>
      <c r="C8" t="s">
        <v>82</v>
      </c>
      <c r="D8" s="10" t="s">
        <v>25</v>
      </c>
    </row>
    <row r="9" spans="1:4" x14ac:dyDescent="0.25">
      <c r="A9" t="s">
        <v>79</v>
      </c>
      <c r="B9" s="19">
        <f>B7*100</f>
      </c>
      <c r="C9" t="s">
        <v>83</v>
      </c>
      <c r="D9" s="10" t="s">
        <v>25</v>
      </c>
    </row>
    <row r="10" spans="1:4" x14ac:dyDescent="0.25">
      <c r="A10" t="s">
        <v>79</v>
      </c>
      <c r="B10" s="16">
        <f>B7/'Inputs'!$B$14*1000</f>
      </c>
      <c r="C10" t="s">
        <v>84</v>
      </c>
      <c r="D10" s="10" t="s">
        <v>85</v>
      </c>
    </row>
    <row r="12" ht="32" customHeight="1" spans="1:4" x14ac:dyDescent="0.25">
      <c r="A12" s="8" t="s">
        <v>86</v>
      </c>
      <c r="B12" s="8" t="s">
        <v>20</v>
      </c>
      <c r="C12" s="8" t="s">
        <v>21</v>
      </c>
      <c r="D12" s="8" t="s">
        <v>50</v>
      </c>
    </row>
    <row r="13" spans="1:4" x14ac:dyDescent="0.25">
      <c r="A13" t="s">
        <v>87</v>
      </c>
      <c r="B13" s="24">
        <f>'Inputs'!$B$12*(1+'Inputs'!$B$12)^'Inputs'!$B$13/((1+'Inputs'!$B$12)^'Inputs'!$B$13-1)</f>
      </c>
      <c r="C13" t="s">
        <v>88</v>
      </c>
      <c r="D13" s="10" t="s">
        <v>89</v>
      </c>
    </row>
    <row r="14" spans="1:4" x14ac:dyDescent="0.25">
      <c r="A14" t="s">
        <v>90</v>
      </c>
      <c r="B14" s="25">
        <f>'Inputs'!$B$9*B13</f>
      </c>
      <c r="C14" t="s">
        <v>39</v>
      </c>
      <c r="D14" s="10" t="s">
        <v>25</v>
      </c>
    </row>
    <row r="15" spans="1:4" x14ac:dyDescent="0.25">
      <c r="A15" t="s">
        <v>91</v>
      </c>
      <c r="B15" s="19">
        <f>(B14+'Inputs'!$B$10)/'Inputs'!$B$19*100</f>
      </c>
      <c r="C15" t="s">
        <v>83</v>
      </c>
      <c r="D15" s="10" t="s">
        <v>92</v>
      </c>
    </row>
    <row r="16" spans="1:4" x14ac:dyDescent="0.25">
      <c r="A16" t="s">
        <v>93</v>
      </c>
      <c r="B16" s="17">
        <f>B6*B13</f>
      </c>
      <c r="C16" t="s">
        <v>94</v>
      </c>
      <c r="D16" s="10" t="s">
        <v>25</v>
      </c>
    </row>
    <row r="17" spans="1:4" x14ac:dyDescent="0.25">
      <c r="A17" t="s">
        <v>95</v>
      </c>
      <c r="B17" s="25">
        <f>(B5-'Inputs'!$B$9)*B13</f>
      </c>
      <c r="C17" t="s">
        <v>39</v>
      </c>
      <c r="D17" s="10" t="s">
        <v>25</v>
      </c>
    </row>
    <row r="18" spans="1:4" x14ac:dyDescent="0.25">
      <c r="A18" t="s">
        <v>96</v>
      </c>
      <c r="B18" s="19">
        <f>(B14+B17)/B16*100</f>
      </c>
      <c r="C18" t="s">
        <v>83</v>
      </c>
      <c r="D18" s="10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34" customWidth="1"/>
    <col min="2" max="7" width="16" customWidth="1"/>
  </cols>
  <sheetData>
    <row r="1" spans="1:1" x14ac:dyDescent="0.25">
      <c r="A1" s="6" t="s">
        <v>98</v>
      </c>
    </row>
    <row r="2" spans="1:1" x14ac:dyDescent="0.25">
      <c r="A2" s="7" t="s">
        <v>99</v>
      </c>
    </row>
    <row r="4" ht="32" customHeight="1" spans="1:2" x14ac:dyDescent="0.25">
      <c r="A4" s="8" t="s">
        <v>100</v>
      </c>
      <c r="B4" s="8" t="s">
        <v>101</v>
      </c>
    </row>
    <row r="5" spans="1:2" x14ac:dyDescent="0.25">
      <c r="A5" s="11">
        <v>0.04</v>
      </c>
      <c r="B5" s="19">
        <f>('Inputs'!$B$9*1+1*SUMPRODUCT(Calc!$D$5:$D$45,1/(1+A5)^Calc!$A$5:$A$45))/(1*SUMPRODUCT(Calc!$B$5:$B$45*'Inputs'!$B$19*(1-'Inputs'!$B$8)^(Calc!$A$5:$A$45-1),1/(1+A5)^Calc!$A$5:$A$45))*100</f>
      </c>
    </row>
    <row r="6" spans="1:2" x14ac:dyDescent="0.25">
      <c r="A6" s="11">
        <v>0.05</v>
      </c>
      <c r="B6" s="19">
        <f>('Inputs'!$B$9*1+1*SUMPRODUCT(Calc!$D$5:$D$45,1/(1+A6)^Calc!$A$5:$A$45))/(1*SUMPRODUCT(Calc!$B$5:$B$45*'Inputs'!$B$19*(1-'Inputs'!$B$8)^(Calc!$A$5:$A$45-1),1/(1+A6)^Calc!$A$5:$A$45))*100</f>
      </c>
    </row>
    <row r="7" spans="1:2" x14ac:dyDescent="0.25">
      <c r="A7" s="11">
        <v>0.055</v>
      </c>
      <c r="B7" s="19">
        <f>('Inputs'!$B$9*1+1*SUMPRODUCT(Calc!$D$5:$D$45,1/(1+A7)^Calc!$A$5:$A$45))/(1*SUMPRODUCT(Calc!$B$5:$B$45*'Inputs'!$B$19*(1-'Inputs'!$B$8)^(Calc!$A$5:$A$45-1),1/(1+A7)^Calc!$A$5:$A$45))*100</f>
      </c>
    </row>
    <row r="8" spans="1:2" x14ac:dyDescent="0.25">
      <c r="A8" s="11">
        <v>0.06</v>
      </c>
      <c r="B8" s="19">
        <f>('Inputs'!$B$9*1+1*SUMPRODUCT(Calc!$D$5:$D$45,1/(1+A8)^Calc!$A$5:$A$45))/(1*SUMPRODUCT(Calc!$B$5:$B$45*'Inputs'!$B$19*(1-'Inputs'!$B$8)^(Calc!$A$5:$A$45-1),1/(1+A8)^Calc!$A$5:$A$45))*100</f>
      </c>
    </row>
    <row r="9" spans="1:2" x14ac:dyDescent="0.25">
      <c r="A9" s="11">
        <v>0.062</v>
      </c>
      <c r="B9" s="19">
        <f>('Inputs'!$B$9*1+1*SUMPRODUCT(Calc!$D$5:$D$45,1/(1+A9)^Calc!$A$5:$A$45))/(1*SUMPRODUCT(Calc!$B$5:$B$45*'Inputs'!$B$19*(1-'Inputs'!$B$8)^(Calc!$A$5:$A$45-1),1/(1+A9)^Calc!$A$5:$A$45))*100</f>
      </c>
    </row>
    <row r="10" spans="1:2" x14ac:dyDescent="0.25">
      <c r="A10" s="11">
        <v>0.065</v>
      </c>
      <c r="B10" s="19">
        <f>('Inputs'!$B$9*1+1*SUMPRODUCT(Calc!$D$5:$D$45,1/(1+A10)^Calc!$A$5:$A$45))/(1*SUMPRODUCT(Calc!$B$5:$B$45*'Inputs'!$B$19*(1-'Inputs'!$B$8)^(Calc!$A$5:$A$45-1),1/(1+A10)^Calc!$A$5:$A$45))*100</f>
      </c>
    </row>
    <row r="11" spans="1:2" x14ac:dyDescent="0.25">
      <c r="A11" s="11">
        <v>0.07</v>
      </c>
      <c r="B11" s="19">
        <f>('Inputs'!$B$9*1+1*SUMPRODUCT(Calc!$D$5:$D$45,1/(1+A11)^Calc!$A$5:$A$45))/(1*SUMPRODUCT(Calc!$B$5:$B$45*'Inputs'!$B$19*(1-'Inputs'!$B$8)^(Calc!$A$5:$A$45-1),1/(1+A11)^Calc!$A$5:$A$45))*100</f>
      </c>
    </row>
    <row r="12" spans="1:2" x14ac:dyDescent="0.25">
      <c r="A12" s="11">
        <v>0.08</v>
      </c>
      <c r="B12" s="19">
        <f>('Inputs'!$B$9*1+1*SUMPRODUCT(Calc!$D$5:$D$45,1/(1+A12)^Calc!$A$5:$A$45))/(1*SUMPRODUCT(Calc!$B$5:$B$45*'Inputs'!$B$19*(1-'Inputs'!$B$8)^(Calc!$A$5:$A$45-1),1/(1+A12)^Calc!$A$5:$A$45))*100</f>
      </c>
    </row>
    <row r="13" spans="1:2" x14ac:dyDescent="0.25">
      <c r="A13" s="11">
        <v>0.09</v>
      </c>
      <c r="B13" s="19">
        <f>('Inputs'!$B$9*1+1*SUMPRODUCT(Calc!$D$5:$D$45,1/(1+A13)^Calc!$A$5:$A$45))/(1*SUMPRODUCT(Calc!$B$5:$B$45*'Inputs'!$B$19*(1-'Inputs'!$B$8)^(Calc!$A$5:$A$45-1),1/(1+A13)^Calc!$A$5:$A$45))*100</f>
      </c>
    </row>
    <row r="14" spans="1:2" x14ac:dyDescent="0.25">
      <c r="A14" s="11">
        <v>0.1</v>
      </c>
      <c r="B14" s="19">
        <f>('Inputs'!$B$9*1+1*SUMPRODUCT(Calc!$D$5:$D$45,1/(1+A14)^Calc!$A$5:$A$45))/(1*SUMPRODUCT(Calc!$B$5:$B$45*'Inputs'!$B$19*(1-'Inputs'!$B$8)^(Calc!$A$5:$A$45-1),1/(1+A14)^Calc!$A$5:$A$45))*100</f>
      </c>
    </row>
    <row r="16" spans="1:1" x14ac:dyDescent="0.25">
      <c r="A16" s="23" t="s">
        <v>102</v>
      </c>
    </row>
    <row r="17" ht="32" customHeight="1" spans="1:6" x14ac:dyDescent="0.25">
      <c r="A17" s="8" t="s">
        <v>103</v>
      </c>
      <c r="B17" s="8" t="s">
        <v>104</v>
      </c>
      <c r="C17" s="8" t="s">
        <v>105</v>
      </c>
      <c r="D17" s="8" t="s">
        <v>106</v>
      </c>
      <c r="E17" s="8" t="s">
        <v>107</v>
      </c>
      <c r="F17" s="8" t="s">
        <v>108</v>
      </c>
    </row>
    <row r="18" spans="1:6" x14ac:dyDescent="0.25">
      <c r="A18" t="s">
        <v>109</v>
      </c>
      <c r="B18" s="26">
        <v>0.9</v>
      </c>
      <c r="C18" s="26">
        <v>1.1</v>
      </c>
      <c r="D18" s="27">
        <f>('Inputs'!$B$9*B18+1*SUMPRODUCT(Calc!$D$5:$D$45,1/(1+'Inputs'!$B$12)^Calc!$A$5:$A$45))/(1*SUMPRODUCT(Calc!$B$5:$B$45*'Inputs'!$B$19*(1-'Inputs'!$B$8)^(Calc!$A$5:$A$45-1),1/(1+'Inputs'!$B$12)^Calc!$A$5:$A$45))*100</f>
      </c>
      <c r="E18" s="27">
        <f>('Inputs'!$B$9*C18+1*SUMPRODUCT(Calc!$D$5:$D$45,1/(1+'Inputs'!$B$12)^Calc!$A$5:$A$45))/(1*SUMPRODUCT(Calc!$B$5:$B$45*'Inputs'!$B$19*(1-'Inputs'!$B$8)^(Calc!$A$5:$A$45-1),1/(1+'Inputs'!$B$12)^Calc!$A$5:$A$45))*100</f>
      </c>
      <c r="F18" s="19">
        <f>ABS(E18-D18)</f>
      </c>
    </row>
    <row r="19" spans="1:6" x14ac:dyDescent="0.25">
      <c r="A19" t="s">
        <v>110</v>
      </c>
      <c r="B19" s="26">
        <v>1.1</v>
      </c>
      <c r="C19" s="26">
        <v>0.9</v>
      </c>
      <c r="D19" s="27">
        <f>('Inputs'!$B$9*1+1*SUMPRODUCT(Calc!$D$5:$D$45,1/(1+'Inputs'!$B$12)^Calc!$A$5:$A$45))/(B19*SUMPRODUCT(Calc!$B$5:$B$45*'Inputs'!$B$19*(1-'Inputs'!$B$8)^(Calc!$A$5:$A$45-1),1/(1+'Inputs'!$B$12)^Calc!$A$5:$A$45))*100</f>
      </c>
      <c r="E19" s="27">
        <f>('Inputs'!$B$9*1+1*SUMPRODUCT(Calc!$D$5:$D$45,1/(1+'Inputs'!$B$12)^Calc!$A$5:$A$45))/(C19*SUMPRODUCT(Calc!$B$5:$B$45*'Inputs'!$B$19*(1-'Inputs'!$B$8)^(Calc!$A$5:$A$45-1),1/(1+'Inputs'!$B$12)^Calc!$A$5:$A$45))*100</f>
      </c>
      <c r="F19" s="19">
        <f>ABS(E19-D19)</f>
      </c>
    </row>
    <row r="20" spans="1:6" x14ac:dyDescent="0.25">
      <c r="A20" t="s">
        <v>111</v>
      </c>
      <c r="B20" s="11">
        <v>0.052</v>
      </c>
      <c r="C20" s="11">
        <v>0.072</v>
      </c>
      <c r="D20" s="27">
        <f>('Inputs'!$B$9*1+1*SUMPRODUCT(Calc!$D$5:$D$45,1/(1+B20)^Calc!$A$5:$A$45))/(1*SUMPRODUCT(Calc!$B$5:$B$45*'Inputs'!$B$19*(1-'Inputs'!$B$8)^(Calc!$A$5:$A$45-1),1/(1+B20)^Calc!$A$5:$A$45))*100</f>
      </c>
      <c r="E20" s="27">
        <f>('Inputs'!$B$9*1+1*SUMPRODUCT(Calc!$D$5:$D$45,1/(1+C20)^Calc!$A$5:$A$45))/(1*SUMPRODUCT(Calc!$B$5:$B$45*'Inputs'!$B$19*(1-'Inputs'!$B$8)^(Calc!$A$5:$A$45-1),1/(1+C20)^Calc!$A$5:$A$45))*100</f>
      </c>
      <c r="F20" s="19">
        <f>ABS(E20-D20)</f>
      </c>
    </row>
    <row r="21" spans="1:6" x14ac:dyDescent="0.25">
      <c r="A21" t="s">
        <v>112</v>
      </c>
      <c r="B21" s="26">
        <v>0.8</v>
      </c>
      <c r="C21" s="26">
        <v>1.2</v>
      </c>
      <c r="D21" s="27">
        <f>('Inputs'!$B$9*1+B21*SUMPRODUCT(Calc!$D$5:$D$45,1/(1+'Inputs'!$B$12)^Calc!$A$5:$A$45))/(1*SUMPRODUCT(Calc!$B$5:$B$45*'Inputs'!$B$19*(1-'Inputs'!$B$8)^(Calc!$A$5:$A$45-1),1/(1+'Inputs'!$B$12)^Calc!$A$5:$A$45))*100</f>
      </c>
      <c r="E21" s="27">
        <f>('Inputs'!$B$9*1+C21*SUMPRODUCT(Calc!$D$5:$D$45,1/(1+'Inputs'!$B$12)^Calc!$A$5:$A$45))/(1*SUMPRODUCT(Calc!$B$5:$B$45*'Inputs'!$B$19*(1-'Inputs'!$B$8)^(Calc!$A$5:$A$45-1),1/(1+'Inputs'!$B$12)^Calc!$A$5:$A$45))*100</f>
      </c>
      <c r="F21" s="19">
        <f>ABS(E21-D21)</f>
      </c>
    </row>
    <row r="22" spans="1:6" x14ac:dyDescent="0.25">
      <c r="A22" t="s">
        <v>113</v>
      </c>
      <c r="B22" s="11">
        <v>0.0025</v>
      </c>
      <c r="C22" s="11">
        <v>0.007</v>
      </c>
      <c r="D22" s="27">
        <f>('Inputs'!$B$9*1+1*SUMPRODUCT(Calc!$D$5:$D$45,1/(1+'Inputs'!$B$12)^Calc!$A$5:$A$45))/(1*SUMPRODUCT(Calc!$B$5:$B$45*'Inputs'!$B$19*(1-B22)^(Calc!$A$5:$A$45-1),1/(1+'Inputs'!$B$12)^Calc!$A$5:$A$45))*100</f>
      </c>
      <c r="E22" s="27">
        <f>('Inputs'!$B$9*1+1*SUMPRODUCT(Calc!$D$5:$D$45,1/(1+'Inputs'!$B$12)^Calc!$A$5:$A$45))/(1*SUMPRODUCT(Calc!$B$5:$B$45*'Inputs'!$B$19*(1-C22)^(Calc!$A$5:$A$45-1),1/(1+'Inputs'!$B$12)^Calc!$A$5:$A$45))*100</f>
      </c>
      <c r="F22" s="19">
        <f>ABS(E22-D22)</f>
      </c>
    </row>
    <row r="24" spans="1:1" x14ac:dyDescent="0.25">
      <c r="A24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Inputs</vt:lpstr>
      <vt:lpstr>Calc</vt:lpstr>
      <vt:lpstr>Results</vt:lpstr>
      <vt:lpstr>Sensitivity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MEWRE PM Learning Platform (Module 10)</dc:creator>
  <dc:title>LCOE model — utility PV</dc:title>
  <dc:subject/>
  <dc:description/>
  <cp:keywords/>
  <cp:category/>
  <cp:lastModifiedBy>Unknown</cp:lastModifiedBy>
  <dcterms:created xsi:type="dcterms:W3CDTF">2026-10-19T00:00:00Z</dcterms:created>
  <dcterms:modified xsi:type="dcterms:W3CDTF">2026-10-19T11:14:25Z</dcterms:modified>
</cp:coreProperties>
</file>