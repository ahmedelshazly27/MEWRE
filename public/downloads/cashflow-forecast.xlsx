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ME" state="visible" r:id="rId4"/>
    <sheet sheetId="2" name="Inputs" state="visible" r:id="rId5"/>
    <sheet sheetId="3" name="Milestones" state="visible" r:id="rId6"/>
    <sheet sheetId="4" name="Monthly" state="visible" r:id="rId7"/>
    <sheet sheetId="5" name="FY Budget" state="visible" r:id="rId8"/>
    <sheet sheetId="6" name="Contingency" state="visible" r:id="rId9"/>
  </sheets>
  <calcPr calcId="171027" fullCalcOnLoad="1"/>
</workbook>
</file>

<file path=xl/sharedStrings.xml><?xml version="1.0" encoding="utf-8"?>
<sst xmlns="http://schemas.openxmlformats.org/spreadsheetml/2006/main" count="158" uniqueCount="119">
  <si>
    <t>Construction cash-flow forecast — advance, retention, S-curve, fiscal years (Module 10, Lesson 6)</t>
  </si>
  <si>
    <t>Yellow cells with blue bold text = INPUTS you may change.</t>
  </si>
  <si>
    <t>Green cells = key RESULTS (formulas — do not overwrite).</t>
  </si>
  <si>
    <t>WHAT THIS MODEL DOES</t>
  </si>
  <si>
    <t>Turns a construction contract into a monthly payment forecast for the Employer (MEWRE) and a fiscal-year budget request. Gross work value comes either from an S-curve (cosine profile) or from a milestone payment schedule. From each interim payment certificate it deducts advance-payment recovery and retention, adds the advance at signature and the two retention releases, and sums net payments by fiscal year.</t>
  </si>
  <si>
    <t>Default payment terms follow FIDIC 2017 conventions (advance recovered by amortisation starting when certified work exceeds 10% of the Accepted Contract Amount, at 25% of each IPC; retention at a percentage of each IPC up to a limit; half released at Taking-Over, half at the end of the Defects Notification Period). Your contract's Particular Conditions / Contract Data override these.</t>
  </si>
  <si>
    <t>Fiscal year: Kuwait's state budget year is assumed to start in April (FY = 1 April to 31 March). This is widely reported but is NOT sourced in the course research brief — confirm with the Ministry of Finance budget circular. Change 'FY start month' if needed.</t>
  </si>
  <si>
    <t>Sheets: Inputs -&gt; Milestones (optional schedule) -&gt; Monthly (months 0..48) -&gt; FY Budget -&gt; Contingency (commitment vs budget, contingency drawdown log).</t>
  </si>
  <si>
    <t>EXERCISES</t>
  </si>
  <si>
    <t>1. Base case (KWD 45.0 m, 24 months from June 2026, S-curve): confirm FY2026/27 net payments KWD 14.282 m, FY2027/28 KWD 26.755 m.</t>
  </si>
  <si>
    <t>2. The contractor asks to raise the advance from 10% to 20%. What changes in FY2026/27 cash need and in MEWRE's exposure? What security must be increased?</t>
  </si>
  <si>
    <t>3. Switch basis to milestones (Inputs basis = 2). Compare the FY split with the S-curve. Which is more realistic for a substation and OHL package?</t>
  </si>
  <si>
    <t>4. A 3-month delay shifts the S-curve (set start date to Sep 2026). How much budget lapses from FY2026/27 and must be re-requested?</t>
  </si>
  <si>
    <t>5. Contingency sheet: add a variation of KWD 0.8 m. What is the remaining contingency, and how would you explain the movement to the Audit Bureau?</t>
  </si>
  <si>
    <t>DISCLAIMER</t>
  </si>
  <si>
    <t>All numbers are ILLUSTRATIVE teaching values for a generic 1,100 MW PV IPP in Kuwait-like conditions. They are NOT the tariff, capex or terms of any real Shagaya / KAPP project (the Zone 1 tariff has not been published). Replace them with project data before using the model for any decision.</t>
  </si>
  <si>
    <t>Currency convention: USD for IPP economics, KWD for ministry budgets; assumed 1 KWD = 3.25 USD (change in Inputs where shown).</t>
  </si>
  <si>
    <t>Inputs — contract payment terms</t>
  </si>
  <si>
    <t>Input</t>
  </si>
  <si>
    <t>Value</t>
  </si>
  <si>
    <t>Unit</t>
  </si>
  <si>
    <t>Note / typical range</t>
  </si>
  <si>
    <t>Accepted Contract Amount</t>
  </si>
  <si>
    <t>KWD m</t>
  </si>
  <si>
    <t/>
  </si>
  <si>
    <t>Month 0 (signature / advance date)</t>
  </si>
  <si>
    <t>date</t>
  </si>
  <si>
    <t>Time for completion</t>
  </si>
  <si>
    <t>months</t>
  </si>
  <si>
    <t>Taking-Over assumed at month T</t>
  </si>
  <si>
    <t>Advance payment</t>
  </si>
  <si>
    <t>% of contract</t>
  </si>
  <si>
    <t>Paid against an advance payment guarantee</t>
  </si>
  <si>
    <t>Recovery starts when certified work exceeds</t>
  </si>
  <si>
    <t>FIDIC 2017 default 10%</t>
  </si>
  <si>
    <t>Amortisation rate</t>
  </si>
  <si>
    <t>% of each IPC</t>
  </si>
  <si>
    <t>FIDIC 2017 default 25%</t>
  </si>
  <si>
    <t>Retention rate</t>
  </si>
  <si>
    <t>Retention limit</t>
  </si>
  <si>
    <t>Defects Notification Period</t>
  </si>
  <si>
    <t>Max 24 in this sheet</t>
  </si>
  <si>
    <t>Gross value basis (1 = S-curve, 2 = milestones)</t>
  </si>
  <si>
    <t>switch</t>
  </si>
  <si>
    <t>Fiscal year start month</t>
  </si>
  <si>
    <t>month (1–12)</t>
  </si>
  <si>
    <t>Assumed April — verify</t>
  </si>
  <si>
    <t>Milestone payment schedule (used when basis = 2)</t>
  </si>
  <si>
    <t>Percentages must total 100%.</t>
  </si>
  <si>
    <t>#</t>
  </si>
  <si>
    <t>Milestone</t>
  </si>
  <si>
    <t>Month achieved</t>
  </si>
  <si>
    <t>Value (KWD m)</t>
  </si>
  <si>
    <t>Approved route survey, design basis and SLD</t>
  </si>
  <si>
    <t>Approved detailed design (towers, foundations, GIS layout)</t>
  </si>
  <si>
    <t>Tower steel and conductor delivered to site (50%)</t>
  </si>
  <si>
    <t>Foundations 50% complete</t>
  </si>
  <si>
    <t>GIS and transformers factory acceptance tests passed</t>
  </si>
  <si>
    <t>Tower steel and conductor delivered (100%)</t>
  </si>
  <si>
    <t>Towers erected 100%</t>
  </si>
  <si>
    <t>GIS and transformers delivered and installed</t>
  </si>
  <si>
    <t>Stringing complete</t>
  </si>
  <si>
    <t>Pre-commissioning and protection tests complete</t>
  </si>
  <si>
    <t>Energization and Taking-Over</t>
  </si>
  <si>
    <t>Total (must be 100%)</t>
  </si>
  <si>
    <t>Monthly payment forecast (KWD m) — formulas</t>
  </si>
  <si>
    <t>Net payment = gross IPC + advance - advance recovery - retention + retention release.</t>
  </si>
  <si>
    <t>Month</t>
  </si>
  <si>
    <t>Date</t>
  </si>
  <si>
    <t>Fiscal year</t>
  </si>
  <si>
    <t>S-curve cum. %</t>
  </si>
  <si>
    <t>Gross (S-curve)</t>
  </si>
  <si>
    <t>Gross (milestones)</t>
  </si>
  <si>
    <t>Gross IPC used</t>
  </si>
  <si>
    <t>Cum. gross</t>
  </si>
  <si>
    <t>Advance paid</t>
  </si>
  <si>
    <t>Advance recovery</t>
  </si>
  <si>
    <t>Retention held</t>
  </si>
  <si>
    <t>Retention release</t>
  </si>
  <si>
    <t>Net payment</t>
  </si>
  <si>
    <t>Cum. net</t>
  </si>
  <si>
    <t>Total</t>
  </si>
  <si>
    <t>Fiscal-year budget request (KWD m)</t>
  </si>
  <si>
    <t>SUMIF of the monthly forecast by fiscal-year label.</t>
  </si>
  <si>
    <t>Gross work certified</t>
  </si>
  <si>
    <t>Advance recovered</t>
  </si>
  <si>
    <t>Retention released</t>
  </si>
  <si>
    <t>Net cash payment (budget need)</t>
  </si>
  <si>
    <t>Cumulative net</t>
  </si>
  <si>
    <t>Check: total net = contract amount</t>
  </si>
  <si>
    <t>Budget, commitment and contingency drawdown (KWD m)</t>
  </si>
  <si>
    <t>Commitment = contract value + approved variations; expenditure = cash paid.</t>
  </si>
  <si>
    <t>Project contingency in approved budget</t>
  </si>
  <si>
    <t>10% of contract; sized from the risk register (P80)</t>
  </si>
  <si>
    <t>Owner's costs (consultant supervision, permits, MEWRE staff)</t>
  </si>
  <si>
    <t>Change / risk item</t>
  </si>
  <si>
    <t>Status</t>
  </si>
  <si>
    <t>Probability</t>
  </si>
  <si>
    <t>Expected value</t>
  </si>
  <si>
    <t>Draws contingency?</t>
  </si>
  <si>
    <t>VO-01 Additional tower foundation design for sabkha soil</t>
  </si>
  <si>
    <t>Approved</t>
  </si>
  <si>
    <t>VO-02 Extra 400 kV bay protection panel requested by MEWRE Transmission</t>
  </si>
  <si>
    <t>Claim-01 Late site access (land handover by Employer)</t>
  </si>
  <si>
    <t>Pending</t>
  </si>
  <si>
    <t>Claim-02 Change in customs procedure (contractor claim)</t>
  </si>
  <si>
    <t>Risk R-07 Outage window slippage on existing Al-Wafra substation</t>
  </si>
  <si>
    <t>Risk (P80 allowance)</t>
  </si>
  <si>
    <t>(add item)</t>
  </si>
  <si>
    <t>Budget position</t>
  </si>
  <si>
    <t>How it is calculated</t>
  </si>
  <si>
    <t>Approved budget = contract + contingency + owner's costs</t>
  </si>
  <si>
    <t>Contingency drawn (approved variations)</t>
  </si>
  <si>
    <t>Commitment = contract + approved variations</t>
  </si>
  <si>
    <t>Contingency remaining</t>
  </si>
  <si>
    <t>Expected value of pending claims and risks</t>
  </si>
  <si>
    <t>Contingency surplus (+) / shortfall (-)</t>
  </si>
  <si>
    <t>Negative = prepare a budget-increase justification</t>
  </si>
  <si>
    <t>Forecast final cost (EAC) of the package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</si>
</sst>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00"/>
    <numFmt numFmtId="165" formatCode="mmm yyyy"/>
    <numFmt numFmtId="166" formatCode="0.0%"/>
    <numFmt numFmtId="167" formatCode="0.000"/>
  </numFmts>
  <fonts count="9" x14ac:knownFonts="1">
    <font>
      <color theme="1"/>
      <family val="2"/>
      <scheme val="minor"/>
      <sz val="11"/>
      <name val="Calibri"/>
    </font>
    <font>
      <b/>
      <color rgb="FF1F3864"/>
      <sz val="16"/>
    </font>
    <font>
      <b/>
      <color rgb="FF1F3864"/>
    </font>
    <font>
      <b/>
      <color rgb="FF1F3864"/>
      <sz val="14"/>
    </font>
    <font>
      <b/>
      <color rgb="FFFFFFFF"/>
    </font>
    <font>
      <b/>
      <color rgb="FF0000CC"/>
    </font>
    <font>
      <color rgb="FF595959"/>
    </font>
    <font>
      <i/>
      <color rgb="FF595959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3" fillId="0" borderId="0" xfId="0" applyFont="1"/>
    <xf numFmtId="0" fontId="4" fillId="4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/>
    <xf numFmtId="0" fontId="6" fillId="0" borderId="0" xfId="0" applyFont="1"/>
    <xf numFmtId="165" fontId="5" fillId="2" borderId="1" xfId="0" applyNumberFormat="1" applyFont="1" applyFill="1" applyBorder="1"/>
    <xf numFmtId="1" fontId="5" fillId="2" borderId="1" xfId="0" applyNumberFormat="1" applyFont="1" applyFill="1" applyBorder="1"/>
    <xf numFmtId="166" fontId="5" fillId="2" borderId="1" xfId="0" applyNumberFormat="1" applyFont="1" applyFill="1" applyBorder="1"/>
    <xf numFmtId="0" fontId="7" fillId="0" borderId="0" xfId="0" applyFont="1"/>
    <xf numFmtId="0" fontId="5" fillId="2" borderId="1" xfId="0" applyFont="1" applyFill="1" applyBorder="1"/>
    <xf numFmtId="164" fontId="0" fillId="0" borderId="0" xfId="0" applyNumberFormat="1"/>
    <xf numFmtId="166" fontId="8" fillId="3" borderId="1" xfId="0" applyNumberFormat="1" applyFont="1" applyFill="1" applyBorder="1"/>
    <xf numFmtId="164" fontId="8" fillId="3" borderId="1" xfId="0" applyNumberFormat="1" applyFont="1" applyFill="1" applyBorder="1"/>
    <xf numFmtId="165" fontId="0" fillId="0" borderId="0" xfId="0" applyNumberFormat="1"/>
    <xf numFmtId="49" fontId="0" fillId="0" borderId="0" xfId="0" applyNumberFormat="1"/>
    <xf numFmtId="166" fontId="0" fillId="0" borderId="0" xfId="0" applyNumberFormat="1"/>
    <xf numFmtId="167" fontId="8" fillId="3" borderId="1" xfId="0" applyNumberFormat="1" applyFont="1" applyFill="1" applyBorder="1"/>
    <xf numFmtId="9" fontId="5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F3864"/>
  </sheetPr>
  <dimension ref="A1:A19"/>
  <sheetFormatPr defaultRowHeight="15" outlineLevelRow="0" outlineLevelCol="0" x14ac:dyDescent="55"/>
  <cols>
    <col min="1" max="1" width="120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1" x14ac:dyDescent="0.25">
      <c r="A4" s="3" t="s">
        <v>2</v>
      </c>
    </row>
    <row r="6" spans="1:1" x14ac:dyDescent="0.25">
      <c r="A6" s="4" t="s">
        <v>3</v>
      </c>
    </row>
    <row r="7" spans="1:1" x14ac:dyDescent="0.25">
      <c r="A7" s="5" t="s">
        <v>4</v>
      </c>
    </row>
    <row r="8" spans="1:1" x14ac:dyDescent="0.25">
      <c r="A8" s="5" t="s">
        <v>5</v>
      </c>
    </row>
    <row r="9" spans="1:1" x14ac:dyDescent="0.25">
      <c r="A9" s="5" t="s">
        <v>6</v>
      </c>
    </row>
    <row r="10" spans="1:1" x14ac:dyDescent="0.25">
      <c r="A10" s="5" t="s">
        <v>7</v>
      </c>
    </row>
    <row r="11" spans="1:1" x14ac:dyDescent="0.25">
      <c r="A11" s="4" t="s">
        <v>8</v>
      </c>
    </row>
    <row r="12" spans="1:1" x14ac:dyDescent="0.25">
      <c r="A12" s="5" t="s">
        <v>9</v>
      </c>
    </row>
    <row r="13" spans="1:1" x14ac:dyDescent="0.25">
      <c r="A13" s="5" t="s">
        <v>10</v>
      </c>
    </row>
    <row r="14" spans="1:1" x14ac:dyDescent="0.25">
      <c r="A14" s="5" t="s">
        <v>11</v>
      </c>
    </row>
    <row r="15" spans="1:1" x14ac:dyDescent="0.25">
      <c r="A15" s="5" t="s">
        <v>12</v>
      </c>
    </row>
    <row r="16" spans="1:1" x14ac:dyDescent="0.25">
      <c r="A16" s="5" t="s">
        <v>13</v>
      </c>
    </row>
    <row r="17" spans="1:1" x14ac:dyDescent="0.25">
      <c r="A17" s="4" t="s">
        <v>14</v>
      </c>
    </row>
    <row r="18" spans="1:1" x14ac:dyDescent="0.25">
      <c r="A18" s="5" t="s">
        <v>15</v>
      </c>
    </row>
    <row r="19" spans="1:1" x14ac:dyDescent="0.25">
      <c r="A19" s="5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"/>
  <sheetFormatPr defaultRowHeight="15" outlineLevelRow="0" outlineLevelCol="0" x14ac:dyDescent="55"/>
  <cols>
    <col min="1" max="1" width="46" customWidth="1"/>
    <col min="2" max="3" width="14" customWidth="1"/>
    <col min="4" max="4" width="64" customWidth="1"/>
  </cols>
  <sheetData>
    <row r="1" spans="1:1" x14ac:dyDescent="0.25">
      <c r="A1" s="6" t="s">
        <v>17</v>
      </c>
    </row>
    <row r="4" ht="32" customHeight="1" spans="1:4" x14ac:dyDescent="0.25">
      <c r="A4" s="7" t="s">
        <v>18</v>
      </c>
      <c r="B4" s="7" t="s">
        <v>19</v>
      </c>
      <c r="C4" s="7" t="s">
        <v>20</v>
      </c>
      <c r="D4" s="7" t="s">
        <v>21</v>
      </c>
    </row>
    <row r="5" spans="1:4" x14ac:dyDescent="0.25">
      <c r="A5" t="s">
        <v>22</v>
      </c>
      <c r="B5" s="8">
        <v>45</v>
      </c>
      <c r="C5" t="s">
        <v>23</v>
      </c>
      <c r="D5" s="9" t="s">
        <v>24</v>
      </c>
    </row>
    <row r="6" spans="1:4" x14ac:dyDescent="0.25">
      <c r="A6" t="s">
        <v>25</v>
      </c>
      <c r="B6" s="10">
        <v>46174</v>
      </c>
      <c r="C6" t="s">
        <v>26</v>
      </c>
      <c r="D6" s="9" t="s">
        <v>24</v>
      </c>
    </row>
    <row r="7" spans="1:4" x14ac:dyDescent="0.25">
      <c r="A7" t="s">
        <v>27</v>
      </c>
      <c r="B7" s="11">
        <v>24</v>
      </c>
      <c r="C7" t="s">
        <v>28</v>
      </c>
      <c r="D7" s="9" t="s">
        <v>29</v>
      </c>
    </row>
    <row r="8" spans="1:4" x14ac:dyDescent="0.25">
      <c r="A8" t="s">
        <v>30</v>
      </c>
      <c r="B8" s="12">
        <v>0.1</v>
      </c>
      <c r="C8" t="s">
        <v>31</v>
      </c>
      <c r="D8" s="9" t="s">
        <v>32</v>
      </c>
    </row>
    <row r="9" spans="1:4" x14ac:dyDescent="0.25">
      <c r="A9" t="s">
        <v>33</v>
      </c>
      <c r="B9" s="12">
        <v>0.1</v>
      </c>
      <c r="C9" t="s">
        <v>31</v>
      </c>
      <c r="D9" s="9" t="s">
        <v>34</v>
      </c>
    </row>
    <row r="10" spans="1:4" x14ac:dyDescent="0.25">
      <c r="A10" t="s">
        <v>35</v>
      </c>
      <c r="B10" s="12">
        <v>0.25</v>
      </c>
      <c r="C10" t="s">
        <v>36</v>
      </c>
      <c r="D10" s="9" t="s">
        <v>37</v>
      </c>
    </row>
    <row r="11" spans="1:4" x14ac:dyDescent="0.25">
      <c r="A11" t="s">
        <v>38</v>
      </c>
      <c r="B11" s="12">
        <v>0.1</v>
      </c>
      <c r="C11" t="s">
        <v>36</v>
      </c>
      <c r="D11" s="9" t="s">
        <v>24</v>
      </c>
    </row>
    <row r="12" spans="1:4" x14ac:dyDescent="0.25">
      <c r="A12" t="s">
        <v>39</v>
      </c>
      <c r="B12" s="12">
        <v>0.05</v>
      </c>
      <c r="C12" t="s">
        <v>31</v>
      </c>
      <c r="D12" s="9" t="s">
        <v>24</v>
      </c>
    </row>
    <row r="13" spans="1:4" x14ac:dyDescent="0.25">
      <c r="A13" t="s">
        <v>40</v>
      </c>
      <c r="B13" s="11">
        <v>12</v>
      </c>
      <c r="C13" t="s">
        <v>28</v>
      </c>
      <c r="D13" s="9" t="s">
        <v>41</v>
      </c>
    </row>
    <row r="14" spans="1:4" x14ac:dyDescent="0.25">
      <c r="A14" t="s">
        <v>42</v>
      </c>
      <c r="B14" s="11">
        <v>1</v>
      </c>
      <c r="C14" t="s">
        <v>43</v>
      </c>
      <c r="D14" s="9" t="s">
        <v>24</v>
      </c>
    </row>
    <row r="15" spans="1:4" x14ac:dyDescent="0.25">
      <c r="A15" t="s">
        <v>44</v>
      </c>
      <c r="B15" s="11">
        <v>4</v>
      </c>
      <c r="C15" t="s">
        <v>45</v>
      </c>
      <c r="D15" s="9" t="s">
        <v>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5" customWidth="1"/>
    <col min="2" max="2" width="52" customWidth="1"/>
    <col min="3" max="5" width="14" customWidth="1"/>
  </cols>
  <sheetData>
    <row r="1" spans="1:1" x14ac:dyDescent="0.25">
      <c r="A1" s="6" t="s">
        <v>47</v>
      </c>
    </row>
    <row r="2" spans="1:1" x14ac:dyDescent="0.25">
      <c r="A2" s="13" t="s">
        <v>48</v>
      </c>
    </row>
    <row r="4" ht="32" customHeight="1" spans="1:5" x14ac:dyDescent="0.25">
      <c r="A4" s="7" t="s">
        <v>49</v>
      </c>
      <c r="B4" s="7" t="s">
        <v>50</v>
      </c>
      <c r="C4" s="7" t="s">
        <v>31</v>
      </c>
      <c r="D4" s="7" t="s">
        <v>51</v>
      </c>
      <c r="E4" s="7" t="s">
        <v>52</v>
      </c>
    </row>
    <row r="5" spans="1:5" x14ac:dyDescent="0.25">
      <c r="A5">
        <v>1</v>
      </c>
      <c r="B5" t="s">
        <v>53</v>
      </c>
      <c r="C5" s="12">
        <v>0.05</v>
      </c>
      <c r="D5" s="14">
        <v>3</v>
      </c>
      <c r="E5" s="15">
        <f>C5*'Inputs'!$B$5</f>
      </c>
    </row>
    <row r="6" spans="1:5" x14ac:dyDescent="0.25">
      <c r="A6">
        <v>2</v>
      </c>
      <c r="B6" t="s">
        <v>54</v>
      </c>
      <c r="C6" s="12">
        <v>0.05</v>
      </c>
      <c r="D6" s="14">
        <v>6</v>
      </c>
      <c r="E6" s="15">
        <f>C6*'Inputs'!$B$5</f>
      </c>
    </row>
    <row r="7" spans="1:5" x14ac:dyDescent="0.25">
      <c r="A7">
        <v>3</v>
      </c>
      <c r="B7" t="s">
        <v>55</v>
      </c>
      <c r="C7" s="12">
        <v>0.1</v>
      </c>
      <c r="D7" s="14">
        <v>9</v>
      </c>
      <c r="E7" s="15">
        <f>C7*'Inputs'!$B$5</f>
      </c>
    </row>
    <row r="8" spans="1:5" x14ac:dyDescent="0.25">
      <c r="A8">
        <v>4</v>
      </c>
      <c r="B8" t="s">
        <v>56</v>
      </c>
      <c r="C8" s="12">
        <v>0.1</v>
      </c>
      <c r="D8" s="14">
        <v>10</v>
      </c>
      <c r="E8" s="15">
        <f>C8*'Inputs'!$B$5</f>
      </c>
    </row>
    <row r="9" spans="1:5" x14ac:dyDescent="0.25">
      <c r="A9">
        <v>5</v>
      </c>
      <c r="B9" t="s">
        <v>57</v>
      </c>
      <c r="C9" s="12">
        <v>0.1</v>
      </c>
      <c r="D9" s="14">
        <v>12</v>
      </c>
      <c r="E9" s="15">
        <f>C9*'Inputs'!$B$5</f>
      </c>
    </row>
    <row r="10" spans="1:5" x14ac:dyDescent="0.25">
      <c r="A10">
        <v>6</v>
      </c>
      <c r="B10" t="s">
        <v>58</v>
      </c>
      <c r="C10" s="12">
        <v>0.1</v>
      </c>
      <c r="D10" s="14">
        <v>13</v>
      </c>
      <c r="E10" s="15">
        <f>C10*'Inputs'!$B$5</f>
      </c>
    </row>
    <row r="11" spans="1:5" x14ac:dyDescent="0.25">
      <c r="A11">
        <v>7</v>
      </c>
      <c r="B11" t="s">
        <v>59</v>
      </c>
      <c r="C11" s="12">
        <v>0.1</v>
      </c>
      <c r="D11" s="14">
        <v>16</v>
      </c>
      <c r="E11" s="15">
        <f>C11*'Inputs'!$B$5</f>
      </c>
    </row>
    <row r="12" spans="1:5" x14ac:dyDescent="0.25">
      <c r="A12">
        <v>8</v>
      </c>
      <c r="B12" t="s">
        <v>60</v>
      </c>
      <c r="C12" s="12">
        <v>0.15</v>
      </c>
      <c r="D12" s="14">
        <v>18</v>
      </c>
      <c r="E12" s="15">
        <f>C12*'Inputs'!$B$5</f>
      </c>
    </row>
    <row r="13" spans="1:5" x14ac:dyDescent="0.25">
      <c r="A13">
        <v>9</v>
      </c>
      <c r="B13" t="s">
        <v>61</v>
      </c>
      <c r="C13" s="12">
        <v>0.1</v>
      </c>
      <c r="D13" s="14">
        <v>20</v>
      </c>
      <c r="E13" s="15">
        <f>C13*'Inputs'!$B$5</f>
      </c>
    </row>
    <row r="14" spans="1:5" x14ac:dyDescent="0.25">
      <c r="A14">
        <v>10</v>
      </c>
      <c r="B14" t="s">
        <v>62</v>
      </c>
      <c r="C14" s="12">
        <v>0.05</v>
      </c>
      <c r="D14" s="14">
        <v>22</v>
      </c>
      <c r="E14" s="15">
        <f>C14*'Inputs'!$B$5</f>
      </c>
    </row>
    <row r="15" spans="1:5" x14ac:dyDescent="0.25">
      <c r="A15">
        <v>11</v>
      </c>
      <c r="B15" t="s">
        <v>63</v>
      </c>
      <c r="C15" s="12">
        <v>0.1</v>
      </c>
      <c r="D15" s="14">
        <v>24</v>
      </c>
      <c r="E15" s="15">
        <f>C15*'Inputs'!$B$5</f>
      </c>
    </row>
    <row r="16" spans="2:5" x14ac:dyDescent="0.25">
      <c r="B16" t="s">
        <v>64</v>
      </c>
      <c r="C16" s="16">
        <f>SUM(C5:C15)</f>
      </c>
      <c r="E16" s="17">
        <f>SUM(E5:E15)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pane xSplit="1" ySplit="4" topLeftCell="B5" activePane="bottomRight" state="frozen"/>
      <selection pane="bottomRight"/>
    </sheetView>
  </sheetViews>
  <sheetFormatPr defaultRowHeight="15" outlineLevelRow="0" outlineLevelCol="0" x14ac:dyDescent="55"/>
  <cols>
    <col min="1" max="2" width="12" customWidth="1"/>
    <col min="3" max="3" width="11" customWidth="1"/>
    <col min="4" max="14" width="12" customWidth="1"/>
  </cols>
  <sheetData>
    <row r="1" spans="1:1" x14ac:dyDescent="0.25">
      <c r="A1" s="6" t="s">
        <v>65</v>
      </c>
    </row>
    <row r="2" spans="1:1" x14ac:dyDescent="0.25">
      <c r="A2" s="13" t="s">
        <v>66</v>
      </c>
    </row>
    <row r="4" ht="32" customHeight="1" spans="1:14" x14ac:dyDescent="0.25">
      <c r="A4" s="7" t="s">
        <v>67</v>
      </c>
      <c r="B4" s="7" t="s">
        <v>68</v>
      </c>
      <c r="C4" s="7" t="s">
        <v>69</v>
      </c>
      <c r="D4" s="7" t="s">
        <v>70</v>
      </c>
      <c r="E4" s="7" t="s">
        <v>71</v>
      </c>
      <c r="F4" s="7" t="s">
        <v>72</v>
      </c>
      <c r="G4" s="7" t="s">
        <v>73</v>
      </c>
      <c r="H4" s="7" t="s">
        <v>74</v>
      </c>
      <c r="I4" s="7" t="s">
        <v>75</v>
      </c>
      <c r="J4" s="7" t="s">
        <v>76</v>
      </c>
      <c r="K4" s="7" t="s">
        <v>77</v>
      </c>
      <c r="L4" s="7" t="s">
        <v>78</v>
      </c>
      <c r="M4" s="7" t="s">
        <v>79</v>
      </c>
      <c r="N4" s="7" t="s">
        <v>80</v>
      </c>
    </row>
    <row r="5" spans="1:14" x14ac:dyDescent="0.25">
      <c r="A5">
        <v>0</v>
      </c>
      <c r="B5" s="18">
        <f>EDATE('Inputs'!$B$6,A5)</f>
      </c>
      <c r="C5" s="19">
        <f>IF(MONTH(B5)&gt;='Inputs'!$B$15,YEAR(B5)&amp;"/"&amp;RIGHT(YEAR(B5)+1,2),(YEAR(B5)-1)&amp;"/"&amp;RIGHT(YEAR(B5),2))</f>
      </c>
      <c r="D5" s="20">
        <f>IF(A5&gt;='Inputs'!$B$7,1,(1-COS(PI()*A5/'Inputs'!$B$7))/2)</f>
      </c>
      <c r="E5" s="15">
        <f>0</f>
      </c>
      <c r="F5" s="15">
        <f>SUMIF(Milestones!$D$5:$D$15,A5,Milestones!$E$5:$E$15)</f>
      </c>
      <c r="G5" s="15">
        <f>IF('Inputs'!$B$14=1,E5,F5)</f>
      </c>
      <c r="H5" s="15">
        <f>G5</f>
      </c>
      <c r="I5" s="15">
        <f>IF(A5=0,'Inputs'!$B$8*'Inputs'!$B$5,0)</f>
      </c>
      <c r="J5" s="15">
        <f>MAX(0,IF(A5='Inputs'!$B$7,'Inputs'!$B$8*'Inputs'!$B$5-0,IF(H5&gt;'Inputs'!$B$9*'Inputs'!$B$5,MIN('Inputs'!$B$10*G5,'Inputs'!$B$8*'Inputs'!$B$5-0),0)))</f>
      </c>
      <c r="K5" s="15">
        <f>MAX(0,MIN('Inputs'!$B$11*G5,'Inputs'!$B$12*'Inputs'!$B$5-0))</f>
      </c>
      <c r="L5" s="15">
        <f>IF(A5='Inputs'!$B$7,SUM(K$5:K$53)/2,0)+IF(A5='Inputs'!$B$7+'Inputs'!$B$13,SUM(K$5:K$53)/2,0)</f>
      </c>
      <c r="M5" s="15">
        <f>G5+I5-J5-K5+L5</f>
      </c>
      <c r="N5" s="15">
        <f>M5</f>
      </c>
    </row>
    <row r="6" spans="1:14" x14ac:dyDescent="0.25">
      <c r="A6">
        <v>1</v>
      </c>
      <c r="B6" s="18">
        <f>EDATE('Inputs'!$B$6,A6)</f>
      </c>
      <c r="C6" s="19">
        <f>IF(MONTH(B6)&gt;='Inputs'!$B$15,YEAR(B6)&amp;"/"&amp;RIGHT(YEAR(B6)+1,2),(YEAR(B6)-1)&amp;"/"&amp;RIGHT(YEAR(B6),2))</f>
      </c>
      <c r="D6" s="20">
        <f>IF(A6&gt;='Inputs'!$B$7,1,(1-COS(PI()*A6/'Inputs'!$B$7))/2)</f>
      </c>
      <c r="E6" s="15">
        <f>'Inputs'!$B$5*(D6-D5)</f>
      </c>
      <c r="F6" s="15">
        <f>SUMIF(Milestones!$D$5:$D$15,A6,Milestones!$E$5:$E$15)</f>
      </c>
      <c r="G6" s="15">
        <f>IF('Inputs'!$B$14=1,E6,F6)</f>
      </c>
      <c r="H6" s="15">
        <f>H5+G6</f>
      </c>
      <c r="I6" s="15">
        <f>IF(A6=0,'Inputs'!$B$8*'Inputs'!$B$5,0)</f>
      </c>
      <c r="J6" s="15">
        <f>MAX(0,IF(A6='Inputs'!$B$7,'Inputs'!$B$8*'Inputs'!$B$5-SUM(J$5:J5),IF(H6&gt;'Inputs'!$B$9*'Inputs'!$B$5,MIN('Inputs'!$B$10*G6,'Inputs'!$B$8*'Inputs'!$B$5-SUM(J$5:J5)),0)))</f>
      </c>
      <c r="K6" s="15">
        <f>MAX(0,MIN('Inputs'!$B$11*G6,'Inputs'!$B$12*'Inputs'!$B$5-SUM(K$5:K5)))</f>
      </c>
      <c r="L6" s="15">
        <f>IF(A6='Inputs'!$B$7,SUM(K$5:K$53)/2,0)+IF(A6='Inputs'!$B$7+'Inputs'!$B$13,SUM(K$5:K$53)/2,0)</f>
      </c>
      <c r="M6" s="15">
        <f>G6+I6-J6-K6+L6</f>
      </c>
      <c r="N6" s="15">
        <f>N5+M6</f>
      </c>
    </row>
    <row r="7" spans="1:14" x14ac:dyDescent="0.25">
      <c r="A7">
        <v>2</v>
      </c>
      <c r="B7" s="18">
        <f>EDATE('Inputs'!$B$6,A7)</f>
      </c>
      <c r="C7" s="19">
        <f>IF(MONTH(B7)&gt;='Inputs'!$B$15,YEAR(B7)&amp;"/"&amp;RIGHT(YEAR(B7)+1,2),(YEAR(B7)-1)&amp;"/"&amp;RIGHT(YEAR(B7),2))</f>
      </c>
      <c r="D7" s="20">
        <f>IF(A7&gt;='Inputs'!$B$7,1,(1-COS(PI()*A7/'Inputs'!$B$7))/2)</f>
      </c>
      <c r="E7" s="15">
        <f>'Inputs'!$B$5*(D7-D6)</f>
      </c>
      <c r="F7" s="15">
        <f>SUMIF(Milestones!$D$5:$D$15,A7,Milestones!$E$5:$E$15)</f>
      </c>
      <c r="G7" s="15">
        <f>IF('Inputs'!$B$14=1,E7,F7)</f>
      </c>
      <c r="H7" s="15">
        <f>H6+G7</f>
      </c>
      <c r="I7" s="15">
        <f>IF(A7=0,'Inputs'!$B$8*'Inputs'!$B$5,0)</f>
      </c>
      <c r="J7" s="15">
        <f>MAX(0,IF(A7='Inputs'!$B$7,'Inputs'!$B$8*'Inputs'!$B$5-SUM(J$5:J6),IF(H7&gt;'Inputs'!$B$9*'Inputs'!$B$5,MIN('Inputs'!$B$10*G7,'Inputs'!$B$8*'Inputs'!$B$5-SUM(J$5:J6)),0)))</f>
      </c>
      <c r="K7" s="15">
        <f>MAX(0,MIN('Inputs'!$B$11*G7,'Inputs'!$B$12*'Inputs'!$B$5-SUM(K$5:K6)))</f>
      </c>
      <c r="L7" s="15">
        <f>IF(A7='Inputs'!$B$7,SUM(K$5:K$53)/2,0)+IF(A7='Inputs'!$B$7+'Inputs'!$B$13,SUM(K$5:K$53)/2,0)</f>
      </c>
      <c r="M7" s="15">
        <f>G7+I7-J7-K7+L7</f>
      </c>
      <c r="N7" s="15">
        <f>N6+M7</f>
      </c>
    </row>
    <row r="8" spans="1:14" x14ac:dyDescent="0.25">
      <c r="A8">
        <v>3</v>
      </c>
      <c r="B8" s="18">
        <f>EDATE('Inputs'!$B$6,A8)</f>
      </c>
      <c r="C8" s="19">
        <f>IF(MONTH(B8)&gt;='Inputs'!$B$15,YEAR(B8)&amp;"/"&amp;RIGHT(YEAR(B8)+1,2),(YEAR(B8)-1)&amp;"/"&amp;RIGHT(YEAR(B8),2))</f>
      </c>
      <c r="D8" s="20">
        <f>IF(A8&gt;='Inputs'!$B$7,1,(1-COS(PI()*A8/'Inputs'!$B$7))/2)</f>
      </c>
      <c r="E8" s="15">
        <f>'Inputs'!$B$5*(D8-D7)</f>
      </c>
      <c r="F8" s="15">
        <f>SUMIF(Milestones!$D$5:$D$15,A8,Milestones!$E$5:$E$15)</f>
      </c>
      <c r="G8" s="15">
        <f>IF('Inputs'!$B$14=1,E8,F8)</f>
      </c>
      <c r="H8" s="15">
        <f>H7+G8</f>
      </c>
      <c r="I8" s="15">
        <f>IF(A8=0,'Inputs'!$B$8*'Inputs'!$B$5,0)</f>
      </c>
      <c r="J8" s="15">
        <f>MAX(0,IF(A8='Inputs'!$B$7,'Inputs'!$B$8*'Inputs'!$B$5-SUM(J$5:J7),IF(H8&gt;'Inputs'!$B$9*'Inputs'!$B$5,MIN('Inputs'!$B$10*G8,'Inputs'!$B$8*'Inputs'!$B$5-SUM(J$5:J7)),0)))</f>
      </c>
      <c r="K8" s="15">
        <f>MAX(0,MIN('Inputs'!$B$11*G8,'Inputs'!$B$12*'Inputs'!$B$5-SUM(K$5:K7)))</f>
      </c>
      <c r="L8" s="15">
        <f>IF(A8='Inputs'!$B$7,SUM(K$5:K$53)/2,0)+IF(A8='Inputs'!$B$7+'Inputs'!$B$13,SUM(K$5:K$53)/2,0)</f>
      </c>
      <c r="M8" s="15">
        <f>G8+I8-J8-K8+L8</f>
      </c>
      <c r="N8" s="15">
        <f>N7+M8</f>
      </c>
    </row>
    <row r="9" spans="1:14" x14ac:dyDescent="0.25">
      <c r="A9">
        <v>4</v>
      </c>
      <c r="B9" s="18">
        <f>EDATE('Inputs'!$B$6,A9)</f>
      </c>
      <c r="C9" s="19">
        <f>IF(MONTH(B9)&gt;='Inputs'!$B$15,YEAR(B9)&amp;"/"&amp;RIGHT(YEAR(B9)+1,2),(YEAR(B9)-1)&amp;"/"&amp;RIGHT(YEAR(B9),2))</f>
      </c>
      <c r="D9" s="20">
        <f>IF(A9&gt;='Inputs'!$B$7,1,(1-COS(PI()*A9/'Inputs'!$B$7))/2)</f>
      </c>
      <c r="E9" s="15">
        <f>'Inputs'!$B$5*(D9-D8)</f>
      </c>
      <c r="F9" s="15">
        <f>SUMIF(Milestones!$D$5:$D$15,A9,Milestones!$E$5:$E$15)</f>
      </c>
      <c r="G9" s="15">
        <f>IF('Inputs'!$B$14=1,E9,F9)</f>
      </c>
      <c r="H9" s="15">
        <f>H8+G9</f>
      </c>
      <c r="I9" s="15">
        <f>IF(A9=0,'Inputs'!$B$8*'Inputs'!$B$5,0)</f>
      </c>
      <c r="J9" s="15">
        <f>MAX(0,IF(A9='Inputs'!$B$7,'Inputs'!$B$8*'Inputs'!$B$5-SUM(J$5:J8),IF(H9&gt;'Inputs'!$B$9*'Inputs'!$B$5,MIN('Inputs'!$B$10*G9,'Inputs'!$B$8*'Inputs'!$B$5-SUM(J$5:J8)),0)))</f>
      </c>
      <c r="K9" s="15">
        <f>MAX(0,MIN('Inputs'!$B$11*G9,'Inputs'!$B$12*'Inputs'!$B$5-SUM(K$5:K8)))</f>
      </c>
      <c r="L9" s="15">
        <f>IF(A9='Inputs'!$B$7,SUM(K$5:K$53)/2,0)+IF(A9='Inputs'!$B$7+'Inputs'!$B$13,SUM(K$5:K$53)/2,0)</f>
      </c>
      <c r="M9" s="15">
        <f>G9+I9-J9-K9+L9</f>
      </c>
      <c r="N9" s="15">
        <f>N8+M9</f>
      </c>
    </row>
    <row r="10" spans="1:14" x14ac:dyDescent="0.25">
      <c r="A10">
        <v>5</v>
      </c>
      <c r="B10" s="18">
        <f>EDATE('Inputs'!$B$6,A10)</f>
      </c>
      <c r="C10" s="19">
        <f>IF(MONTH(B10)&gt;='Inputs'!$B$15,YEAR(B10)&amp;"/"&amp;RIGHT(YEAR(B10)+1,2),(YEAR(B10)-1)&amp;"/"&amp;RIGHT(YEAR(B10),2))</f>
      </c>
      <c r="D10" s="20">
        <f>IF(A10&gt;='Inputs'!$B$7,1,(1-COS(PI()*A10/'Inputs'!$B$7))/2)</f>
      </c>
      <c r="E10" s="15">
        <f>'Inputs'!$B$5*(D10-D9)</f>
      </c>
      <c r="F10" s="15">
        <f>SUMIF(Milestones!$D$5:$D$15,A10,Milestones!$E$5:$E$15)</f>
      </c>
      <c r="G10" s="15">
        <f>IF('Inputs'!$B$14=1,E10,F10)</f>
      </c>
      <c r="H10" s="15">
        <f>H9+G10</f>
      </c>
      <c r="I10" s="15">
        <f>IF(A10=0,'Inputs'!$B$8*'Inputs'!$B$5,0)</f>
      </c>
      <c r="J10" s="15">
        <f>MAX(0,IF(A10='Inputs'!$B$7,'Inputs'!$B$8*'Inputs'!$B$5-SUM(J$5:J9),IF(H10&gt;'Inputs'!$B$9*'Inputs'!$B$5,MIN('Inputs'!$B$10*G10,'Inputs'!$B$8*'Inputs'!$B$5-SUM(J$5:J9)),0)))</f>
      </c>
      <c r="K10" s="15">
        <f>MAX(0,MIN('Inputs'!$B$11*G10,'Inputs'!$B$12*'Inputs'!$B$5-SUM(K$5:K9)))</f>
      </c>
      <c r="L10" s="15">
        <f>IF(A10='Inputs'!$B$7,SUM(K$5:K$53)/2,0)+IF(A10='Inputs'!$B$7+'Inputs'!$B$13,SUM(K$5:K$53)/2,0)</f>
      </c>
      <c r="M10" s="15">
        <f>G10+I10-J10-K10+L10</f>
      </c>
      <c r="N10" s="15">
        <f>N9+M10</f>
      </c>
    </row>
    <row r="11" spans="1:14" x14ac:dyDescent="0.25">
      <c r="A11">
        <v>6</v>
      </c>
      <c r="B11" s="18">
        <f>EDATE('Inputs'!$B$6,A11)</f>
      </c>
      <c r="C11" s="19">
        <f>IF(MONTH(B11)&gt;='Inputs'!$B$15,YEAR(B11)&amp;"/"&amp;RIGHT(YEAR(B11)+1,2),(YEAR(B11)-1)&amp;"/"&amp;RIGHT(YEAR(B11),2))</f>
      </c>
      <c r="D11" s="20">
        <f>IF(A11&gt;='Inputs'!$B$7,1,(1-COS(PI()*A11/'Inputs'!$B$7))/2)</f>
      </c>
      <c r="E11" s="15">
        <f>'Inputs'!$B$5*(D11-D10)</f>
      </c>
      <c r="F11" s="15">
        <f>SUMIF(Milestones!$D$5:$D$15,A11,Milestones!$E$5:$E$15)</f>
      </c>
      <c r="G11" s="15">
        <f>IF('Inputs'!$B$14=1,E11,F11)</f>
      </c>
      <c r="H11" s="15">
        <f>H10+G11</f>
      </c>
      <c r="I11" s="15">
        <f>IF(A11=0,'Inputs'!$B$8*'Inputs'!$B$5,0)</f>
      </c>
      <c r="J11" s="15">
        <f>MAX(0,IF(A11='Inputs'!$B$7,'Inputs'!$B$8*'Inputs'!$B$5-SUM(J$5:J10),IF(H11&gt;'Inputs'!$B$9*'Inputs'!$B$5,MIN('Inputs'!$B$10*G11,'Inputs'!$B$8*'Inputs'!$B$5-SUM(J$5:J10)),0)))</f>
      </c>
      <c r="K11" s="15">
        <f>MAX(0,MIN('Inputs'!$B$11*G11,'Inputs'!$B$12*'Inputs'!$B$5-SUM(K$5:K10)))</f>
      </c>
      <c r="L11" s="15">
        <f>IF(A11='Inputs'!$B$7,SUM(K$5:K$53)/2,0)+IF(A11='Inputs'!$B$7+'Inputs'!$B$13,SUM(K$5:K$53)/2,0)</f>
      </c>
      <c r="M11" s="15">
        <f>G11+I11-J11-K11+L11</f>
      </c>
      <c r="N11" s="15">
        <f>N10+M11</f>
      </c>
    </row>
    <row r="12" spans="1:14" x14ac:dyDescent="0.25">
      <c r="A12">
        <v>7</v>
      </c>
      <c r="B12" s="18">
        <f>EDATE('Inputs'!$B$6,A12)</f>
      </c>
      <c r="C12" s="19">
        <f>IF(MONTH(B12)&gt;='Inputs'!$B$15,YEAR(B12)&amp;"/"&amp;RIGHT(YEAR(B12)+1,2),(YEAR(B12)-1)&amp;"/"&amp;RIGHT(YEAR(B12),2))</f>
      </c>
      <c r="D12" s="20">
        <f>IF(A12&gt;='Inputs'!$B$7,1,(1-COS(PI()*A12/'Inputs'!$B$7))/2)</f>
      </c>
      <c r="E12" s="15">
        <f>'Inputs'!$B$5*(D12-D11)</f>
      </c>
      <c r="F12" s="15">
        <f>SUMIF(Milestones!$D$5:$D$15,A12,Milestones!$E$5:$E$15)</f>
      </c>
      <c r="G12" s="15">
        <f>IF('Inputs'!$B$14=1,E12,F12)</f>
      </c>
      <c r="H12" s="15">
        <f>H11+G12</f>
      </c>
      <c r="I12" s="15">
        <f>IF(A12=0,'Inputs'!$B$8*'Inputs'!$B$5,0)</f>
      </c>
      <c r="J12" s="15">
        <f>MAX(0,IF(A12='Inputs'!$B$7,'Inputs'!$B$8*'Inputs'!$B$5-SUM(J$5:J11),IF(H12&gt;'Inputs'!$B$9*'Inputs'!$B$5,MIN('Inputs'!$B$10*G12,'Inputs'!$B$8*'Inputs'!$B$5-SUM(J$5:J11)),0)))</f>
      </c>
      <c r="K12" s="15">
        <f>MAX(0,MIN('Inputs'!$B$11*G12,'Inputs'!$B$12*'Inputs'!$B$5-SUM(K$5:K11)))</f>
      </c>
      <c r="L12" s="15">
        <f>IF(A12='Inputs'!$B$7,SUM(K$5:K$53)/2,0)+IF(A12='Inputs'!$B$7+'Inputs'!$B$13,SUM(K$5:K$53)/2,0)</f>
      </c>
      <c r="M12" s="15">
        <f>G12+I12-J12-K12+L12</f>
      </c>
      <c r="N12" s="15">
        <f>N11+M12</f>
      </c>
    </row>
    <row r="13" spans="1:14" x14ac:dyDescent="0.25">
      <c r="A13">
        <v>8</v>
      </c>
      <c r="B13" s="18">
        <f>EDATE('Inputs'!$B$6,A13)</f>
      </c>
      <c r="C13" s="19">
        <f>IF(MONTH(B13)&gt;='Inputs'!$B$15,YEAR(B13)&amp;"/"&amp;RIGHT(YEAR(B13)+1,2),(YEAR(B13)-1)&amp;"/"&amp;RIGHT(YEAR(B13),2))</f>
      </c>
      <c r="D13" s="20">
        <f>IF(A13&gt;='Inputs'!$B$7,1,(1-COS(PI()*A13/'Inputs'!$B$7))/2)</f>
      </c>
      <c r="E13" s="15">
        <f>'Inputs'!$B$5*(D13-D12)</f>
      </c>
      <c r="F13" s="15">
        <f>SUMIF(Milestones!$D$5:$D$15,A13,Milestones!$E$5:$E$15)</f>
      </c>
      <c r="G13" s="15">
        <f>IF('Inputs'!$B$14=1,E13,F13)</f>
      </c>
      <c r="H13" s="15">
        <f>H12+G13</f>
      </c>
      <c r="I13" s="15">
        <f>IF(A13=0,'Inputs'!$B$8*'Inputs'!$B$5,0)</f>
      </c>
      <c r="J13" s="15">
        <f>MAX(0,IF(A13='Inputs'!$B$7,'Inputs'!$B$8*'Inputs'!$B$5-SUM(J$5:J12),IF(H13&gt;'Inputs'!$B$9*'Inputs'!$B$5,MIN('Inputs'!$B$10*G13,'Inputs'!$B$8*'Inputs'!$B$5-SUM(J$5:J12)),0)))</f>
      </c>
      <c r="K13" s="15">
        <f>MAX(0,MIN('Inputs'!$B$11*G13,'Inputs'!$B$12*'Inputs'!$B$5-SUM(K$5:K12)))</f>
      </c>
      <c r="L13" s="15">
        <f>IF(A13='Inputs'!$B$7,SUM(K$5:K$53)/2,0)+IF(A13='Inputs'!$B$7+'Inputs'!$B$13,SUM(K$5:K$53)/2,0)</f>
      </c>
      <c r="M13" s="15">
        <f>G13+I13-J13-K13+L13</f>
      </c>
      <c r="N13" s="15">
        <f>N12+M13</f>
      </c>
    </row>
    <row r="14" spans="1:14" x14ac:dyDescent="0.25">
      <c r="A14">
        <v>9</v>
      </c>
      <c r="B14" s="18">
        <f>EDATE('Inputs'!$B$6,A14)</f>
      </c>
      <c r="C14" s="19">
        <f>IF(MONTH(B14)&gt;='Inputs'!$B$15,YEAR(B14)&amp;"/"&amp;RIGHT(YEAR(B14)+1,2),(YEAR(B14)-1)&amp;"/"&amp;RIGHT(YEAR(B14),2))</f>
      </c>
      <c r="D14" s="20">
        <f>IF(A14&gt;='Inputs'!$B$7,1,(1-COS(PI()*A14/'Inputs'!$B$7))/2)</f>
      </c>
      <c r="E14" s="15">
        <f>'Inputs'!$B$5*(D14-D13)</f>
      </c>
      <c r="F14" s="15">
        <f>SUMIF(Milestones!$D$5:$D$15,A14,Milestones!$E$5:$E$15)</f>
      </c>
      <c r="G14" s="15">
        <f>IF('Inputs'!$B$14=1,E14,F14)</f>
      </c>
      <c r="H14" s="15">
        <f>H13+G14</f>
      </c>
      <c r="I14" s="15">
        <f>IF(A14=0,'Inputs'!$B$8*'Inputs'!$B$5,0)</f>
      </c>
      <c r="J14" s="15">
        <f>MAX(0,IF(A14='Inputs'!$B$7,'Inputs'!$B$8*'Inputs'!$B$5-SUM(J$5:J13),IF(H14&gt;'Inputs'!$B$9*'Inputs'!$B$5,MIN('Inputs'!$B$10*G14,'Inputs'!$B$8*'Inputs'!$B$5-SUM(J$5:J13)),0)))</f>
      </c>
      <c r="K14" s="15">
        <f>MAX(0,MIN('Inputs'!$B$11*G14,'Inputs'!$B$12*'Inputs'!$B$5-SUM(K$5:K13)))</f>
      </c>
      <c r="L14" s="15">
        <f>IF(A14='Inputs'!$B$7,SUM(K$5:K$53)/2,0)+IF(A14='Inputs'!$B$7+'Inputs'!$B$13,SUM(K$5:K$53)/2,0)</f>
      </c>
      <c r="M14" s="15">
        <f>G14+I14-J14-K14+L14</f>
      </c>
      <c r="N14" s="15">
        <f>N13+M14</f>
      </c>
    </row>
    <row r="15" spans="1:14" x14ac:dyDescent="0.25">
      <c r="A15">
        <v>10</v>
      </c>
      <c r="B15" s="18">
        <f>EDATE('Inputs'!$B$6,A15)</f>
      </c>
      <c r="C15" s="19">
        <f>IF(MONTH(B15)&gt;='Inputs'!$B$15,YEAR(B15)&amp;"/"&amp;RIGHT(YEAR(B15)+1,2),(YEAR(B15)-1)&amp;"/"&amp;RIGHT(YEAR(B15),2))</f>
      </c>
      <c r="D15" s="20">
        <f>IF(A15&gt;='Inputs'!$B$7,1,(1-COS(PI()*A15/'Inputs'!$B$7))/2)</f>
      </c>
      <c r="E15" s="15">
        <f>'Inputs'!$B$5*(D15-D14)</f>
      </c>
      <c r="F15" s="15">
        <f>SUMIF(Milestones!$D$5:$D$15,A15,Milestones!$E$5:$E$15)</f>
      </c>
      <c r="G15" s="15">
        <f>IF('Inputs'!$B$14=1,E15,F15)</f>
      </c>
      <c r="H15" s="15">
        <f>H14+G15</f>
      </c>
      <c r="I15" s="15">
        <f>IF(A15=0,'Inputs'!$B$8*'Inputs'!$B$5,0)</f>
      </c>
      <c r="J15" s="15">
        <f>MAX(0,IF(A15='Inputs'!$B$7,'Inputs'!$B$8*'Inputs'!$B$5-SUM(J$5:J14),IF(H15&gt;'Inputs'!$B$9*'Inputs'!$B$5,MIN('Inputs'!$B$10*G15,'Inputs'!$B$8*'Inputs'!$B$5-SUM(J$5:J14)),0)))</f>
      </c>
      <c r="K15" s="15">
        <f>MAX(0,MIN('Inputs'!$B$11*G15,'Inputs'!$B$12*'Inputs'!$B$5-SUM(K$5:K14)))</f>
      </c>
      <c r="L15" s="15">
        <f>IF(A15='Inputs'!$B$7,SUM(K$5:K$53)/2,0)+IF(A15='Inputs'!$B$7+'Inputs'!$B$13,SUM(K$5:K$53)/2,0)</f>
      </c>
      <c r="M15" s="15">
        <f>G15+I15-J15-K15+L15</f>
      </c>
      <c r="N15" s="15">
        <f>N14+M15</f>
      </c>
    </row>
    <row r="16" spans="1:14" x14ac:dyDescent="0.25">
      <c r="A16">
        <v>11</v>
      </c>
      <c r="B16" s="18">
        <f>EDATE('Inputs'!$B$6,A16)</f>
      </c>
      <c r="C16" s="19">
        <f>IF(MONTH(B16)&gt;='Inputs'!$B$15,YEAR(B16)&amp;"/"&amp;RIGHT(YEAR(B16)+1,2),(YEAR(B16)-1)&amp;"/"&amp;RIGHT(YEAR(B16),2))</f>
      </c>
      <c r="D16" s="20">
        <f>IF(A16&gt;='Inputs'!$B$7,1,(1-COS(PI()*A16/'Inputs'!$B$7))/2)</f>
      </c>
      <c r="E16" s="15">
        <f>'Inputs'!$B$5*(D16-D15)</f>
      </c>
      <c r="F16" s="15">
        <f>SUMIF(Milestones!$D$5:$D$15,A16,Milestones!$E$5:$E$15)</f>
      </c>
      <c r="G16" s="15">
        <f>IF('Inputs'!$B$14=1,E16,F16)</f>
      </c>
      <c r="H16" s="15">
        <f>H15+G16</f>
      </c>
      <c r="I16" s="15">
        <f>IF(A16=0,'Inputs'!$B$8*'Inputs'!$B$5,0)</f>
      </c>
      <c r="J16" s="15">
        <f>MAX(0,IF(A16='Inputs'!$B$7,'Inputs'!$B$8*'Inputs'!$B$5-SUM(J$5:J15),IF(H16&gt;'Inputs'!$B$9*'Inputs'!$B$5,MIN('Inputs'!$B$10*G16,'Inputs'!$B$8*'Inputs'!$B$5-SUM(J$5:J15)),0)))</f>
      </c>
      <c r="K16" s="15">
        <f>MAX(0,MIN('Inputs'!$B$11*G16,'Inputs'!$B$12*'Inputs'!$B$5-SUM(K$5:K15)))</f>
      </c>
      <c r="L16" s="15">
        <f>IF(A16='Inputs'!$B$7,SUM(K$5:K$53)/2,0)+IF(A16='Inputs'!$B$7+'Inputs'!$B$13,SUM(K$5:K$53)/2,0)</f>
      </c>
      <c r="M16" s="15">
        <f>G16+I16-J16-K16+L16</f>
      </c>
      <c r="N16" s="15">
        <f>N15+M16</f>
      </c>
    </row>
    <row r="17" spans="1:14" x14ac:dyDescent="0.25">
      <c r="A17">
        <v>12</v>
      </c>
      <c r="B17" s="18">
        <f>EDATE('Inputs'!$B$6,A17)</f>
      </c>
      <c r="C17" s="19">
        <f>IF(MONTH(B17)&gt;='Inputs'!$B$15,YEAR(B17)&amp;"/"&amp;RIGHT(YEAR(B17)+1,2),(YEAR(B17)-1)&amp;"/"&amp;RIGHT(YEAR(B17),2))</f>
      </c>
      <c r="D17" s="20">
        <f>IF(A17&gt;='Inputs'!$B$7,1,(1-COS(PI()*A17/'Inputs'!$B$7))/2)</f>
      </c>
      <c r="E17" s="15">
        <f>'Inputs'!$B$5*(D17-D16)</f>
      </c>
      <c r="F17" s="15">
        <f>SUMIF(Milestones!$D$5:$D$15,A17,Milestones!$E$5:$E$15)</f>
      </c>
      <c r="G17" s="15">
        <f>IF('Inputs'!$B$14=1,E17,F17)</f>
      </c>
      <c r="H17" s="15">
        <f>H16+G17</f>
      </c>
      <c r="I17" s="15">
        <f>IF(A17=0,'Inputs'!$B$8*'Inputs'!$B$5,0)</f>
      </c>
      <c r="J17" s="15">
        <f>MAX(0,IF(A17='Inputs'!$B$7,'Inputs'!$B$8*'Inputs'!$B$5-SUM(J$5:J16),IF(H17&gt;'Inputs'!$B$9*'Inputs'!$B$5,MIN('Inputs'!$B$10*G17,'Inputs'!$B$8*'Inputs'!$B$5-SUM(J$5:J16)),0)))</f>
      </c>
      <c r="K17" s="15">
        <f>MAX(0,MIN('Inputs'!$B$11*G17,'Inputs'!$B$12*'Inputs'!$B$5-SUM(K$5:K16)))</f>
      </c>
      <c r="L17" s="15">
        <f>IF(A17='Inputs'!$B$7,SUM(K$5:K$53)/2,0)+IF(A17='Inputs'!$B$7+'Inputs'!$B$13,SUM(K$5:K$53)/2,0)</f>
      </c>
      <c r="M17" s="15">
        <f>G17+I17-J17-K17+L17</f>
      </c>
      <c r="N17" s="15">
        <f>N16+M17</f>
      </c>
    </row>
    <row r="18" spans="1:14" x14ac:dyDescent="0.25">
      <c r="A18">
        <v>13</v>
      </c>
      <c r="B18" s="18">
        <f>EDATE('Inputs'!$B$6,A18)</f>
      </c>
      <c r="C18" s="19">
        <f>IF(MONTH(B18)&gt;='Inputs'!$B$15,YEAR(B18)&amp;"/"&amp;RIGHT(YEAR(B18)+1,2),(YEAR(B18)-1)&amp;"/"&amp;RIGHT(YEAR(B18),2))</f>
      </c>
      <c r="D18" s="20">
        <f>IF(A18&gt;='Inputs'!$B$7,1,(1-COS(PI()*A18/'Inputs'!$B$7))/2)</f>
      </c>
      <c r="E18" s="15">
        <f>'Inputs'!$B$5*(D18-D17)</f>
      </c>
      <c r="F18" s="15">
        <f>SUMIF(Milestones!$D$5:$D$15,A18,Milestones!$E$5:$E$15)</f>
      </c>
      <c r="G18" s="15">
        <f>IF('Inputs'!$B$14=1,E18,F18)</f>
      </c>
      <c r="H18" s="15">
        <f>H17+G18</f>
      </c>
      <c r="I18" s="15">
        <f>IF(A18=0,'Inputs'!$B$8*'Inputs'!$B$5,0)</f>
      </c>
      <c r="J18" s="15">
        <f>MAX(0,IF(A18='Inputs'!$B$7,'Inputs'!$B$8*'Inputs'!$B$5-SUM(J$5:J17),IF(H18&gt;'Inputs'!$B$9*'Inputs'!$B$5,MIN('Inputs'!$B$10*G18,'Inputs'!$B$8*'Inputs'!$B$5-SUM(J$5:J17)),0)))</f>
      </c>
      <c r="K18" s="15">
        <f>MAX(0,MIN('Inputs'!$B$11*G18,'Inputs'!$B$12*'Inputs'!$B$5-SUM(K$5:K17)))</f>
      </c>
      <c r="L18" s="15">
        <f>IF(A18='Inputs'!$B$7,SUM(K$5:K$53)/2,0)+IF(A18='Inputs'!$B$7+'Inputs'!$B$13,SUM(K$5:K$53)/2,0)</f>
      </c>
      <c r="M18" s="15">
        <f>G18+I18-J18-K18+L18</f>
      </c>
      <c r="N18" s="15">
        <f>N17+M18</f>
      </c>
    </row>
    <row r="19" spans="1:14" x14ac:dyDescent="0.25">
      <c r="A19">
        <v>14</v>
      </c>
      <c r="B19" s="18">
        <f>EDATE('Inputs'!$B$6,A19)</f>
      </c>
      <c r="C19" s="19">
        <f>IF(MONTH(B19)&gt;='Inputs'!$B$15,YEAR(B19)&amp;"/"&amp;RIGHT(YEAR(B19)+1,2),(YEAR(B19)-1)&amp;"/"&amp;RIGHT(YEAR(B19),2))</f>
      </c>
      <c r="D19" s="20">
        <f>IF(A19&gt;='Inputs'!$B$7,1,(1-COS(PI()*A19/'Inputs'!$B$7))/2)</f>
      </c>
      <c r="E19" s="15">
        <f>'Inputs'!$B$5*(D19-D18)</f>
      </c>
      <c r="F19" s="15">
        <f>SUMIF(Milestones!$D$5:$D$15,A19,Milestones!$E$5:$E$15)</f>
      </c>
      <c r="G19" s="15">
        <f>IF('Inputs'!$B$14=1,E19,F19)</f>
      </c>
      <c r="H19" s="15">
        <f>H18+G19</f>
      </c>
      <c r="I19" s="15">
        <f>IF(A19=0,'Inputs'!$B$8*'Inputs'!$B$5,0)</f>
      </c>
      <c r="J19" s="15">
        <f>MAX(0,IF(A19='Inputs'!$B$7,'Inputs'!$B$8*'Inputs'!$B$5-SUM(J$5:J18),IF(H19&gt;'Inputs'!$B$9*'Inputs'!$B$5,MIN('Inputs'!$B$10*G19,'Inputs'!$B$8*'Inputs'!$B$5-SUM(J$5:J18)),0)))</f>
      </c>
      <c r="K19" s="15">
        <f>MAX(0,MIN('Inputs'!$B$11*G19,'Inputs'!$B$12*'Inputs'!$B$5-SUM(K$5:K18)))</f>
      </c>
      <c r="L19" s="15">
        <f>IF(A19='Inputs'!$B$7,SUM(K$5:K$53)/2,0)+IF(A19='Inputs'!$B$7+'Inputs'!$B$13,SUM(K$5:K$53)/2,0)</f>
      </c>
      <c r="M19" s="15">
        <f>G19+I19-J19-K19+L19</f>
      </c>
      <c r="N19" s="15">
        <f>N18+M19</f>
      </c>
    </row>
    <row r="20" spans="1:14" x14ac:dyDescent="0.25">
      <c r="A20">
        <v>15</v>
      </c>
      <c r="B20" s="18">
        <f>EDATE('Inputs'!$B$6,A20)</f>
      </c>
      <c r="C20" s="19">
        <f>IF(MONTH(B20)&gt;='Inputs'!$B$15,YEAR(B20)&amp;"/"&amp;RIGHT(YEAR(B20)+1,2),(YEAR(B20)-1)&amp;"/"&amp;RIGHT(YEAR(B20),2))</f>
      </c>
      <c r="D20" s="20">
        <f>IF(A20&gt;='Inputs'!$B$7,1,(1-COS(PI()*A20/'Inputs'!$B$7))/2)</f>
      </c>
      <c r="E20" s="15">
        <f>'Inputs'!$B$5*(D20-D19)</f>
      </c>
      <c r="F20" s="15">
        <f>SUMIF(Milestones!$D$5:$D$15,A20,Milestones!$E$5:$E$15)</f>
      </c>
      <c r="G20" s="15">
        <f>IF('Inputs'!$B$14=1,E20,F20)</f>
      </c>
      <c r="H20" s="15">
        <f>H19+G20</f>
      </c>
      <c r="I20" s="15">
        <f>IF(A20=0,'Inputs'!$B$8*'Inputs'!$B$5,0)</f>
      </c>
      <c r="J20" s="15">
        <f>MAX(0,IF(A20='Inputs'!$B$7,'Inputs'!$B$8*'Inputs'!$B$5-SUM(J$5:J19),IF(H20&gt;'Inputs'!$B$9*'Inputs'!$B$5,MIN('Inputs'!$B$10*G20,'Inputs'!$B$8*'Inputs'!$B$5-SUM(J$5:J19)),0)))</f>
      </c>
      <c r="K20" s="15">
        <f>MAX(0,MIN('Inputs'!$B$11*G20,'Inputs'!$B$12*'Inputs'!$B$5-SUM(K$5:K19)))</f>
      </c>
      <c r="L20" s="15">
        <f>IF(A20='Inputs'!$B$7,SUM(K$5:K$53)/2,0)+IF(A20='Inputs'!$B$7+'Inputs'!$B$13,SUM(K$5:K$53)/2,0)</f>
      </c>
      <c r="M20" s="15">
        <f>G20+I20-J20-K20+L20</f>
      </c>
      <c r="N20" s="15">
        <f>N19+M20</f>
      </c>
    </row>
    <row r="21" spans="1:14" x14ac:dyDescent="0.25">
      <c r="A21">
        <v>16</v>
      </c>
      <c r="B21" s="18">
        <f>EDATE('Inputs'!$B$6,A21)</f>
      </c>
      <c r="C21" s="19">
        <f>IF(MONTH(B21)&gt;='Inputs'!$B$15,YEAR(B21)&amp;"/"&amp;RIGHT(YEAR(B21)+1,2),(YEAR(B21)-1)&amp;"/"&amp;RIGHT(YEAR(B21),2))</f>
      </c>
      <c r="D21" s="20">
        <f>IF(A21&gt;='Inputs'!$B$7,1,(1-COS(PI()*A21/'Inputs'!$B$7))/2)</f>
      </c>
      <c r="E21" s="15">
        <f>'Inputs'!$B$5*(D21-D20)</f>
      </c>
      <c r="F21" s="15">
        <f>SUMIF(Milestones!$D$5:$D$15,A21,Milestones!$E$5:$E$15)</f>
      </c>
      <c r="G21" s="15">
        <f>IF('Inputs'!$B$14=1,E21,F21)</f>
      </c>
      <c r="H21" s="15">
        <f>H20+G21</f>
      </c>
      <c r="I21" s="15">
        <f>IF(A21=0,'Inputs'!$B$8*'Inputs'!$B$5,0)</f>
      </c>
      <c r="J21" s="15">
        <f>MAX(0,IF(A21='Inputs'!$B$7,'Inputs'!$B$8*'Inputs'!$B$5-SUM(J$5:J20),IF(H21&gt;'Inputs'!$B$9*'Inputs'!$B$5,MIN('Inputs'!$B$10*G21,'Inputs'!$B$8*'Inputs'!$B$5-SUM(J$5:J20)),0)))</f>
      </c>
      <c r="K21" s="15">
        <f>MAX(0,MIN('Inputs'!$B$11*G21,'Inputs'!$B$12*'Inputs'!$B$5-SUM(K$5:K20)))</f>
      </c>
      <c r="L21" s="15">
        <f>IF(A21='Inputs'!$B$7,SUM(K$5:K$53)/2,0)+IF(A21='Inputs'!$B$7+'Inputs'!$B$13,SUM(K$5:K$53)/2,0)</f>
      </c>
      <c r="M21" s="15">
        <f>G21+I21-J21-K21+L21</f>
      </c>
      <c r="N21" s="15">
        <f>N20+M21</f>
      </c>
    </row>
    <row r="22" spans="1:14" x14ac:dyDescent="0.25">
      <c r="A22">
        <v>17</v>
      </c>
      <c r="B22" s="18">
        <f>EDATE('Inputs'!$B$6,A22)</f>
      </c>
      <c r="C22" s="19">
        <f>IF(MONTH(B22)&gt;='Inputs'!$B$15,YEAR(B22)&amp;"/"&amp;RIGHT(YEAR(B22)+1,2),(YEAR(B22)-1)&amp;"/"&amp;RIGHT(YEAR(B22),2))</f>
      </c>
      <c r="D22" s="20">
        <f>IF(A22&gt;='Inputs'!$B$7,1,(1-COS(PI()*A22/'Inputs'!$B$7))/2)</f>
      </c>
      <c r="E22" s="15">
        <f>'Inputs'!$B$5*(D22-D21)</f>
      </c>
      <c r="F22" s="15">
        <f>SUMIF(Milestones!$D$5:$D$15,A22,Milestones!$E$5:$E$15)</f>
      </c>
      <c r="G22" s="15">
        <f>IF('Inputs'!$B$14=1,E22,F22)</f>
      </c>
      <c r="H22" s="15">
        <f>H21+G22</f>
      </c>
      <c r="I22" s="15">
        <f>IF(A22=0,'Inputs'!$B$8*'Inputs'!$B$5,0)</f>
      </c>
      <c r="J22" s="15">
        <f>MAX(0,IF(A22='Inputs'!$B$7,'Inputs'!$B$8*'Inputs'!$B$5-SUM(J$5:J21),IF(H22&gt;'Inputs'!$B$9*'Inputs'!$B$5,MIN('Inputs'!$B$10*G22,'Inputs'!$B$8*'Inputs'!$B$5-SUM(J$5:J21)),0)))</f>
      </c>
      <c r="K22" s="15">
        <f>MAX(0,MIN('Inputs'!$B$11*G22,'Inputs'!$B$12*'Inputs'!$B$5-SUM(K$5:K21)))</f>
      </c>
      <c r="L22" s="15">
        <f>IF(A22='Inputs'!$B$7,SUM(K$5:K$53)/2,0)+IF(A22='Inputs'!$B$7+'Inputs'!$B$13,SUM(K$5:K$53)/2,0)</f>
      </c>
      <c r="M22" s="15">
        <f>G22+I22-J22-K22+L22</f>
      </c>
      <c r="N22" s="15">
        <f>N21+M22</f>
      </c>
    </row>
    <row r="23" spans="1:14" x14ac:dyDescent="0.25">
      <c r="A23">
        <v>18</v>
      </c>
      <c r="B23" s="18">
        <f>EDATE('Inputs'!$B$6,A23)</f>
      </c>
      <c r="C23" s="19">
        <f>IF(MONTH(B23)&gt;='Inputs'!$B$15,YEAR(B23)&amp;"/"&amp;RIGHT(YEAR(B23)+1,2),(YEAR(B23)-1)&amp;"/"&amp;RIGHT(YEAR(B23),2))</f>
      </c>
      <c r="D23" s="20">
        <f>IF(A23&gt;='Inputs'!$B$7,1,(1-COS(PI()*A23/'Inputs'!$B$7))/2)</f>
      </c>
      <c r="E23" s="15">
        <f>'Inputs'!$B$5*(D23-D22)</f>
      </c>
      <c r="F23" s="15">
        <f>SUMIF(Milestones!$D$5:$D$15,A23,Milestones!$E$5:$E$15)</f>
      </c>
      <c r="G23" s="15">
        <f>IF('Inputs'!$B$14=1,E23,F23)</f>
      </c>
      <c r="H23" s="15">
        <f>H22+G23</f>
      </c>
      <c r="I23" s="15">
        <f>IF(A23=0,'Inputs'!$B$8*'Inputs'!$B$5,0)</f>
      </c>
      <c r="J23" s="15">
        <f>MAX(0,IF(A23='Inputs'!$B$7,'Inputs'!$B$8*'Inputs'!$B$5-SUM(J$5:J22),IF(H23&gt;'Inputs'!$B$9*'Inputs'!$B$5,MIN('Inputs'!$B$10*G23,'Inputs'!$B$8*'Inputs'!$B$5-SUM(J$5:J22)),0)))</f>
      </c>
      <c r="K23" s="15">
        <f>MAX(0,MIN('Inputs'!$B$11*G23,'Inputs'!$B$12*'Inputs'!$B$5-SUM(K$5:K22)))</f>
      </c>
      <c r="L23" s="15">
        <f>IF(A23='Inputs'!$B$7,SUM(K$5:K$53)/2,0)+IF(A23='Inputs'!$B$7+'Inputs'!$B$13,SUM(K$5:K$53)/2,0)</f>
      </c>
      <c r="M23" s="15">
        <f>G23+I23-J23-K23+L23</f>
      </c>
      <c r="N23" s="15">
        <f>N22+M23</f>
      </c>
    </row>
    <row r="24" spans="1:14" x14ac:dyDescent="0.25">
      <c r="A24">
        <v>19</v>
      </c>
      <c r="B24" s="18">
        <f>EDATE('Inputs'!$B$6,A24)</f>
      </c>
      <c r="C24" s="19">
        <f>IF(MONTH(B24)&gt;='Inputs'!$B$15,YEAR(B24)&amp;"/"&amp;RIGHT(YEAR(B24)+1,2),(YEAR(B24)-1)&amp;"/"&amp;RIGHT(YEAR(B24),2))</f>
      </c>
      <c r="D24" s="20">
        <f>IF(A24&gt;='Inputs'!$B$7,1,(1-COS(PI()*A24/'Inputs'!$B$7))/2)</f>
      </c>
      <c r="E24" s="15">
        <f>'Inputs'!$B$5*(D24-D23)</f>
      </c>
      <c r="F24" s="15">
        <f>SUMIF(Milestones!$D$5:$D$15,A24,Milestones!$E$5:$E$15)</f>
      </c>
      <c r="G24" s="15">
        <f>IF('Inputs'!$B$14=1,E24,F24)</f>
      </c>
      <c r="H24" s="15">
        <f>H23+G24</f>
      </c>
      <c r="I24" s="15">
        <f>IF(A24=0,'Inputs'!$B$8*'Inputs'!$B$5,0)</f>
      </c>
      <c r="J24" s="15">
        <f>MAX(0,IF(A24='Inputs'!$B$7,'Inputs'!$B$8*'Inputs'!$B$5-SUM(J$5:J23),IF(H24&gt;'Inputs'!$B$9*'Inputs'!$B$5,MIN('Inputs'!$B$10*G24,'Inputs'!$B$8*'Inputs'!$B$5-SUM(J$5:J23)),0)))</f>
      </c>
      <c r="K24" s="15">
        <f>MAX(0,MIN('Inputs'!$B$11*G24,'Inputs'!$B$12*'Inputs'!$B$5-SUM(K$5:K23)))</f>
      </c>
      <c r="L24" s="15">
        <f>IF(A24='Inputs'!$B$7,SUM(K$5:K$53)/2,0)+IF(A24='Inputs'!$B$7+'Inputs'!$B$13,SUM(K$5:K$53)/2,0)</f>
      </c>
      <c r="M24" s="15">
        <f>G24+I24-J24-K24+L24</f>
      </c>
      <c r="N24" s="15">
        <f>N23+M24</f>
      </c>
    </row>
    <row r="25" spans="1:14" x14ac:dyDescent="0.25">
      <c r="A25">
        <v>20</v>
      </c>
      <c r="B25" s="18">
        <f>EDATE('Inputs'!$B$6,A25)</f>
      </c>
      <c r="C25" s="19">
        <f>IF(MONTH(B25)&gt;='Inputs'!$B$15,YEAR(B25)&amp;"/"&amp;RIGHT(YEAR(B25)+1,2),(YEAR(B25)-1)&amp;"/"&amp;RIGHT(YEAR(B25),2))</f>
      </c>
      <c r="D25" s="20">
        <f>IF(A25&gt;='Inputs'!$B$7,1,(1-COS(PI()*A25/'Inputs'!$B$7))/2)</f>
      </c>
      <c r="E25" s="15">
        <f>'Inputs'!$B$5*(D25-D24)</f>
      </c>
      <c r="F25" s="15">
        <f>SUMIF(Milestones!$D$5:$D$15,A25,Milestones!$E$5:$E$15)</f>
      </c>
      <c r="G25" s="15">
        <f>IF('Inputs'!$B$14=1,E25,F25)</f>
      </c>
      <c r="H25" s="15">
        <f>H24+G25</f>
      </c>
      <c r="I25" s="15">
        <f>IF(A25=0,'Inputs'!$B$8*'Inputs'!$B$5,0)</f>
      </c>
      <c r="J25" s="15">
        <f>MAX(0,IF(A25='Inputs'!$B$7,'Inputs'!$B$8*'Inputs'!$B$5-SUM(J$5:J24),IF(H25&gt;'Inputs'!$B$9*'Inputs'!$B$5,MIN('Inputs'!$B$10*G25,'Inputs'!$B$8*'Inputs'!$B$5-SUM(J$5:J24)),0)))</f>
      </c>
      <c r="K25" s="15">
        <f>MAX(0,MIN('Inputs'!$B$11*G25,'Inputs'!$B$12*'Inputs'!$B$5-SUM(K$5:K24)))</f>
      </c>
      <c r="L25" s="15">
        <f>IF(A25='Inputs'!$B$7,SUM(K$5:K$53)/2,0)+IF(A25='Inputs'!$B$7+'Inputs'!$B$13,SUM(K$5:K$53)/2,0)</f>
      </c>
      <c r="M25" s="15">
        <f>G25+I25-J25-K25+L25</f>
      </c>
      <c r="N25" s="15">
        <f>N24+M25</f>
      </c>
    </row>
    <row r="26" spans="1:14" x14ac:dyDescent="0.25">
      <c r="A26">
        <v>21</v>
      </c>
      <c r="B26" s="18">
        <f>EDATE('Inputs'!$B$6,A26)</f>
      </c>
      <c r="C26" s="19">
        <f>IF(MONTH(B26)&gt;='Inputs'!$B$15,YEAR(B26)&amp;"/"&amp;RIGHT(YEAR(B26)+1,2),(YEAR(B26)-1)&amp;"/"&amp;RIGHT(YEAR(B26),2))</f>
      </c>
      <c r="D26" s="20">
        <f>IF(A26&gt;='Inputs'!$B$7,1,(1-COS(PI()*A26/'Inputs'!$B$7))/2)</f>
      </c>
      <c r="E26" s="15">
        <f>'Inputs'!$B$5*(D26-D25)</f>
      </c>
      <c r="F26" s="15">
        <f>SUMIF(Milestones!$D$5:$D$15,A26,Milestones!$E$5:$E$15)</f>
      </c>
      <c r="G26" s="15">
        <f>IF('Inputs'!$B$14=1,E26,F26)</f>
      </c>
      <c r="H26" s="15">
        <f>H25+G26</f>
      </c>
      <c r="I26" s="15">
        <f>IF(A26=0,'Inputs'!$B$8*'Inputs'!$B$5,0)</f>
      </c>
      <c r="J26" s="15">
        <f>MAX(0,IF(A26='Inputs'!$B$7,'Inputs'!$B$8*'Inputs'!$B$5-SUM(J$5:J25),IF(H26&gt;'Inputs'!$B$9*'Inputs'!$B$5,MIN('Inputs'!$B$10*G26,'Inputs'!$B$8*'Inputs'!$B$5-SUM(J$5:J25)),0)))</f>
      </c>
      <c r="K26" s="15">
        <f>MAX(0,MIN('Inputs'!$B$11*G26,'Inputs'!$B$12*'Inputs'!$B$5-SUM(K$5:K25)))</f>
      </c>
      <c r="L26" s="15">
        <f>IF(A26='Inputs'!$B$7,SUM(K$5:K$53)/2,0)+IF(A26='Inputs'!$B$7+'Inputs'!$B$13,SUM(K$5:K$53)/2,0)</f>
      </c>
      <c r="M26" s="15">
        <f>G26+I26-J26-K26+L26</f>
      </c>
      <c r="N26" s="15">
        <f>N25+M26</f>
      </c>
    </row>
    <row r="27" spans="1:14" x14ac:dyDescent="0.25">
      <c r="A27">
        <v>22</v>
      </c>
      <c r="B27" s="18">
        <f>EDATE('Inputs'!$B$6,A27)</f>
      </c>
      <c r="C27" s="19">
        <f>IF(MONTH(B27)&gt;='Inputs'!$B$15,YEAR(B27)&amp;"/"&amp;RIGHT(YEAR(B27)+1,2),(YEAR(B27)-1)&amp;"/"&amp;RIGHT(YEAR(B27),2))</f>
      </c>
      <c r="D27" s="20">
        <f>IF(A27&gt;='Inputs'!$B$7,1,(1-COS(PI()*A27/'Inputs'!$B$7))/2)</f>
      </c>
      <c r="E27" s="15">
        <f>'Inputs'!$B$5*(D27-D26)</f>
      </c>
      <c r="F27" s="15">
        <f>SUMIF(Milestones!$D$5:$D$15,A27,Milestones!$E$5:$E$15)</f>
      </c>
      <c r="G27" s="15">
        <f>IF('Inputs'!$B$14=1,E27,F27)</f>
      </c>
      <c r="H27" s="15">
        <f>H26+G27</f>
      </c>
      <c r="I27" s="15">
        <f>IF(A27=0,'Inputs'!$B$8*'Inputs'!$B$5,0)</f>
      </c>
      <c r="J27" s="15">
        <f>MAX(0,IF(A27='Inputs'!$B$7,'Inputs'!$B$8*'Inputs'!$B$5-SUM(J$5:J26),IF(H27&gt;'Inputs'!$B$9*'Inputs'!$B$5,MIN('Inputs'!$B$10*G27,'Inputs'!$B$8*'Inputs'!$B$5-SUM(J$5:J26)),0)))</f>
      </c>
      <c r="K27" s="15">
        <f>MAX(0,MIN('Inputs'!$B$11*G27,'Inputs'!$B$12*'Inputs'!$B$5-SUM(K$5:K26)))</f>
      </c>
      <c r="L27" s="15">
        <f>IF(A27='Inputs'!$B$7,SUM(K$5:K$53)/2,0)+IF(A27='Inputs'!$B$7+'Inputs'!$B$13,SUM(K$5:K$53)/2,0)</f>
      </c>
      <c r="M27" s="15">
        <f>G27+I27-J27-K27+L27</f>
      </c>
      <c r="N27" s="15">
        <f>N26+M27</f>
      </c>
    </row>
    <row r="28" spans="1:14" x14ac:dyDescent="0.25">
      <c r="A28">
        <v>23</v>
      </c>
      <c r="B28" s="18">
        <f>EDATE('Inputs'!$B$6,A28)</f>
      </c>
      <c r="C28" s="19">
        <f>IF(MONTH(B28)&gt;='Inputs'!$B$15,YEAR(B28)&amp;"/"&amp;RIGHT(YEAR(B28)+1,2),(YEAR(B28)-1)&amp;"/"&amp;RIGHT(YEAR(B28),2))</f>
      </c>
      <c r="D28" s="20">
        <f>IF(A28&gt;='Inputs'!$B$7,1,(1-COS(PI()*A28/'Inputs'!$B$7))/2)</f>
      </c>
      <c r="E28" s="15">
        <f>'Inputs'!$B$5*(D28-D27)</f>
      </c>
      <c r="F28" s="15">
        <f>SUMIF(Milestones!$D$5:$D$15,A28,Milestones!$E$5:$E$15)</f>
      </c>
      <c r="G28" s="15">
        <f>IF('Inputs'!$B$14=1,E28,F28)</f>
      </c>
      <c r="H28" s="15">
        <f>H27+G28</f>
      </c>
      <c r="I28" s="15">
        <f>IF(A28=0,'Inputs'!$B$8*'Inputs'!$B$5,0)</f>
      </c>
      <c r="J28" s="15">
        <f>MAX(0,IF(A28='Inputs'!$B$7,'Inputs'!$B$8*'Inputs'!$B$5-SUM(J$5:J27),IF(H28&gt;'Inputs'!$B$9*'Inputs'!$B$5,MIN('Inputs'!$B$10*G28,'Inputs'!$B$8*'Inputs'!$B$5-SUM(J$5:J27)),0)))</f>
      </c>
      <c r="K28" s="15">
        <f>MAX(0,MIN('Inputs'!$B$11*G28,'Inputs'!$B$12*'Inputs'!$B$5-SUM(K$5:K27)))</f>
      </c>
      <c r="L28" s="15">
        <f>IF(A28='Inputs'!$B$7,SUM(K$5:K$53)/2,0)+IF(A28='Inputs'!$B$7+'Inputs'!$B$13,SUM(K$5:K$53)/2,0)</f>
      </c>
      <c r="M28" s="15">
        <f>G28+I28-J28-K28+L28</f>
      </c>
      <c r="N28" s="15">
        <f>N27+M28</f>
      </c>
    </row>
    <row r="29" spans="1:14" x14ac:dyDescent="0.25">
      <c r="A29">
        <v>24</v>
      </c>
      <c r="B29" s="18">
        <f>EDATE('Inputs'!$B$6,A29)</f>
      </c>
      <c r="C29" s="19">
        <f>IF(MONTH(B29)&gt;='Inputs'!$B$15,YEAR(B29)&amp;"/"&amp;RIGHT(YEAR(B29)+1,2),(YEAR(B29)-1)&amp;"/"&amp;RIGHT(YEAR(B29),2))</f>
      </c>
      <c r="D29" s="20">
        <f>IF(A29&gt;='Inputs'!$B$7,1,(1-COS(PI()*A29/'Inputs'!$B$7))/2)</f>
      </c>
      <c r="E29" s="15">
        <f>'Inputs'!$B$5*(D29-D28)</f>
      </c>
      <c r="F29" s="15">
        <f>SUMIF(Milestones!$D$5:$D$15,A29,Milestones!$E$5:$E$15)</f>
      </c>
      <c r="G29" s="15">
        <f>IF('Inputs'!$B$14=1,E29,F29)</f>
      </c>
      <c r="H29" s="15">
        <f>H28+G29</f>
      </c>
      <c r="I29" s="15">
        <f>IF(A29=0,'Inputs'!$B$8*'Inputs'!$B$5,0)</f>
      </c>
      <c r="J29" s="15">
        <f>MAX(0,IF(A29='Inputs'!$B$7,'Inputs'!$B$8*'Inputs'!$B$5-SUM(J$5:J28),IF(H29&gt;'Inputs'!$B$9*'Inputs'!$B$5,MIN('Inputs'!$B$10*G29,'Inputs'!$B$8*'Inputs'!$B$5-SUM(J$5:J28)),0)))</f>
      </c>
      <c r="K29" s="15">
        <f>MAX(0,MIN('Inputs'!$B$11*G29,'Inputs'!$B$12*'Inputs'!$B$5-SUM(K$5:K28)))</f>
      </c>
      <c r="L29" s="15">
        <f>IF(A29='Inputs'!$B$7,SUM(K$5:K$53)/2,0)+IF(A29='Inputs'!$B$7+'Inputs'!$B$13,SUM(K$5:K$53)/2,0)</f>
      </c>
      <c r="M29" s="15">
        <f>G29+I29-J29-K29+L29</f>
      </c>
      <c r="N29" s="15">
        <f>N28+M29</f>
      </c>
    </row>
    <row r="30" spans="1:14" x14ac:dyDescent="0.25">
      <c r="A30">
        <v>25</v>
      </c>
      <c r="B30" s="18">
        <f>EDATE('Inputs'!$B$6,A30)</f>
      </c>
      <c r="C30" s="19">
        <f>IF(MONTH(B30)&gt;='Inputs'!$B$15,YEAR(B30)&amp;"/"&amp;RIGHT(YEAR(B30)+1,2),(YEAR(B30)-1)&amp;"/"&amp;RIGHT(YEAR(B30),2))</f>
      </c>
      <c r="D30" s="20">
        <f>IF(A30&gt;='Inputs'!$B$7,1,(1-COS(PI()*A30/'Inputs'!$B$7))/2)</f>
      </c>
      <c r="E30" s="15">
        <f>'Inputs'!$B$5*(D30-D29)</f>
      </c>
      <c r="F30" s="15">
        <f>SUMIF(Milestones!$D$5:$D$15,A30,Milestones!$E$5:$E$15)</f>
      </c>
      <c r="G30" s="15">
        <f>IF('Inputs'!$B$14=1,E30,F30)</f>
      </c>
      <c r="H30" s="15">
        <f>H29+G30</f>
      </c>
      <c r="I30" s="15">
        <f>IF(A30=0,'Inputs'!$B$8*'Inputs'!$B$5,0)</f>
      </c>
      <c r="J30" s="15">
        <f>MAX(0,IF(A30='Inputs'!$B$7,'Inputs'!$B$8*'Inputs'!$B$5-SUM(J$5:J29),IF(H30&gt;'Inputs'!$B$9*'Inputs'!$B$5,MIN('Inputs'!$B$10*G30,'Inputs'!$B$8*'Inputs'!$B$5-SUM(J$5:J29)),0)))</f>
      </c>
      <c r="K30" s="15">
        <f>MAX(0,MIN('Inputs'!$B$11*G30,'Inputs'!$B$12*'Inputs'!$B$5-SUM(K$5:K29)))</f>
      </c>
      <c r="L30" s="15">
        <f>IF(A30='Inputs'!$B$7,SUM(K$5:K$53)/2,0)+IF(A30='Inputs'!$B$7+'Inputs'!$B$13,SUM(K$5:K$53)/2,0)</f>
      </c>
      <c r="M30" s="15">
        <f>G30+I30-J30-K30+L30</f>
      </c>
      <c r="N30" s="15">
        <f>N29+M30</f>
      </c>
    </row>
    <row r="31" spans="1:14" x14ac:dyDescent="0.25">
      <c r="A31">
        <v>26</v>
      </c>
      <c r="B31" s="18">
        <f>EDATE('Inputs'!$B$6,A31)</f>
      </c>
      <c r="C31" s="19">
        <f>IF(MONTH(B31)&gt;='Inputs'!$B$15,YEAR(B31)&amp;"/"&amp;RIGHT(YEAR(B31)+1,2),(YEAR(B31)-1)&amp;"/"&amp;RIGHT(YEAR(B31),2))</f>
      </c>
      <c r="D31" s="20">
        <f>IF(A31&gt;='Inputs'!$B$7,1,(1-COS(PI()*A31/'Inputs'!$B$7))/2)</f>
      </c>
      <c r="E31" s="15">
        <f>'Inputs'!$B$5*(D31-D30)</f>
      </c>
      <c r="F31" s="15">
        <f>SUMIF(Milestones!$D$5:$D$15,A31,Milestones!$E$5:$E$15)</f>
      </c>
      <c r="G31" s="15">
        <f>IF('Inputs'!$B$14=1,E31,F31)</f>
      </c>
      <c r="H31" s="15">
        <f>H30+G31</f>
      </c>
      <c r="I31" s="15">
        <f>IF(A31=0,'Inputs'!$B$8*'Inputs'!$B$5,0)</f>
      </c>
      <c r="J31" s="15">
        <f>MAX(0,IF(A31='Inputs'!$B$7,'Inputs'!$B$8*'Inputs'!$B$5-SUM(J$5:J30),IF(H31&gt;'Inputs'!$B$9*'Inputs'!$B$5,MIN('Inputs'!$B$10*G31,'Inputs'!$B$8*'Inputs'!$B$5-SUM(J$5:J30)),0)))</f>
      </c>
      <c r="K31" s="15">
        <f>MAX(0,MIN('Inputs'!$B$11*G31,'Inputs'!$B$12*'Inputs'!$B$5-SUM(K$5:K30)))</f>
      </c>
      <c r="L31" s="15">
        <f>IF(A31='Inputs'!$B$7,SUM(K$5:K$53)/2,0)+IF(A31='Inputs'!$B$7+'Inputs'!$B$13,SUM(K$5:K$53)/2,0)</f>
      </c>
      <c r="M31" s="15">
        <f>G31+I31-J31-K31+L31</f>
      </c>
      <c r="N31" s="15">
        <f>N30+M31</f>
      </c>
    </row>
    <row r="32" spans="1:14" x14ac:dyDescent="0.25">
      <c r="A32">
        <v>27</v>
      </c>
      <c r="B32" s="18">
        <f>EDATE('Inputs'!$B$6,A32)</f>
      </c>
      <c r="C32" s="19">
        <f>IF(MONTH(B32)&gt;='Inputs'!$B$15,YEAR(B32)&amp;"/"&amp;RIGHT(YEAR(B32)+1,2),(YEAR(B32)-1)&amp;"/"&amp;RIGHT(YEAR(B32),2))</f>
      </c>
      <c r="D32" s="20">
        <f>IF(A32&gt;='Inputs'!$B$7,1,(1-COS(PI()*A32/'Inputs'!$B$7))/2)</f>
      </c>
      <c r="E32" s="15">
        <f>'Inputs'!$B$5*(D32-D31)</f>
      </c>
      <c r="F32" s="15">
        <f>SUMIF(Milestones!$D$5:$D$15,A32,Milestones!$E$5:$E$15)</f>
      </c>
      <c r="G32" s="15">
        <f>IF('Inputs'!$B$14=1,E32,F32)</f>
      </c>
      <c r="H32" s="15">
        <f>H31+G32</f>
      </c>
      <c r="I32" s="15">
        <f>IF(A32=0,'Inputs'!$B$8*'Inputs'!$B$5,0)</f>
      </c>
      <c r="J32" s="15">
        <f>MAX(0,IF(A32='Inputs'!$B$7,'Inputs'!$B$8*'Inputs'!$B$5-SUM(J$5:J31),IF(H32&gt;'Inputs'!$B$9*'Inputs'!$B$5,MIN('Inputs'!$B$10*G32,'Inputs'!$B$8*'Inputs'!$B$5-SUM(J$5:J31)),0)))</f>
      </c>
      <c r="K32" s="15">
        <f>MAX(0,MIN('Inputs'!$B$11*G32,'Inputs'!$B$12*'Inputs'!$B$5-SUM(K$5:K31)))</f>
      </c>
      <c r="L32" s="15">
        <f>IF(A32='Inputs'!$B$7,SUM(K$5:K$53)/2,0)+IF(A32='Inputs'!$B$7+'Inputs'!$B$13,SUM(K$5:K$53)/2,0)</f>
      </c>
      <c r="M32" s="15">
        <f>G32+I32-J32-K32+L32</f>
      </c>
      <c r="N32" s="15">
        <f>N31+M32</f>
      </c>
    </row>
    <row r="33" spans="1:14" x14ac:dyDescent="0.25">
      <c r="A33">
        <v>28</v>
      </c>
      <c r="B33" s="18">
        <f>EDATE('Inputs'!$B$6,A33)</f>
      </c>
      <c r="C33" s="19">
        <f>IF(MONTH(B33)&gt;='Inputs'!$B$15,YEAR(B33)&amp;"/"&amp;RIGHT(YEAR(B33)+1,2),(YEAR(B33)-1)&amp;"/"&amp;RIGHT(YEAR(B33),2))</f>
      </c>
      <c r="D33" s="20">
        <f>IF(A33&gt;='Inputs'!$B$7,1,(1-COS(PI()*A33/'Inputs'!$B$7))/2)</f>
      </c>
      <c r="E33" s="15">
        <f>'Inputs'!$B$5*(D33-D32)</f>
      </c>
      <c r="F33" s="15">
        <f>SUMIF(Milestones!$D$5:$D$15,A33,Milestones!$E$5:$E$15)</f>
      </c>
      <c r="G33" s="15">
        <f>IF('Inputs'!$B$14=1,E33,F33)</f>
      </c>
      <c r="H33" s="15">
        <f>H32+G33</f>
      </c>
      <c r="I33" s="15">
        <f>IF(A33=0,'Inputs'!$B$8*'Inputs'!$B$5,0)</f>
      </c>
      <c r="J33" s="15">
        <f>MAX(0,IF(A33='Inputs'!$B$7,'Inputs'!$B$8*'Inputs'!$B$5-SUM(J$5:J32),IF(H33&gt;'Inputs'!$B$9*'Inputs'!$B$5,MIN('Inputs'!$B$10*G33,'Inputs'!$B$8*'Inputs'!$B$5-SUM(J$5:J32)),0)))</f>
      </c>
      <c r="K33" s="15">
        <f>MAX(0,MIN('Inputs'!$B$11*G33,'Inputs'!$B$12*'Inputs'!$B$5-SUM(K$5:K32)))</f>
      </c>
      <c r="L33" s="15">
        <f>IF(A33='Inputs'!$B$7,SUM(K$5:K$53)/2,0)+IF(A33='Inputs'!$B$7+'Inputs'!$B$13,SUM(K$5:K$53)/2,0)</f>
      </c>
      <c r="M33" s="15">
        <f>G33+I33-J33-K33+L33</f>
      </c>
      <c r="N33" s="15">
        <f>N32+M33</f>
      </c>
    </row>
    <row r="34" spans="1:14" x14ac:dyDescent="0.25">
      <c r="A34">
        <v>29</v>
      </c>
      <c r="B34" s="18">
        <f>EDATE('Inputs'!$B$6,A34)</f>
      </c>
      <c r="C34" s="19">
        <f>IF(MONTH(B34)&gt;='Inputs'!$B$15,YEAR(B34)&amp;"/"&amp;RIGHT(YEAR(B34)+1,2),(YEAR(B34)-1)&amp;"/"&amp;RIGHT(YEAR(B34),2))</f>
      </c>
      <c r="D34" s="20">
        <f>IF(A34&gt;='Inputs'!$B$7,1,(1-COS(PI()*A34/'Inputs'!$B$7))/2)</f>
      </c>
      <c r="E34" s="15">
        <f>'Inputs'!$B$5*(D34-D33)</f>
      </c>
      <c r="F34" s="15">
        <f>SUMIF(Milestones!$D$5:$D$15,A34,Milestones!$E$5:$E$15)</f>
      </c>
      <c r="G34" s="15">
        <f>IF('Inputs'!$B$14=1,E34,F34)</f>
      </c>
      <c r="H34" s="15">
        <f>H33+G34</f>
      </c>
      <c r="I34" s="15">
        <f>IF(A34=0,'Inputs'!$B$8*'Inputs'!$B$5,0)</f>
      </c>
      <c r="J34" s="15">
        <f>MAX(0,IF(A34='Inputs'!$B$7,'Inputs'!$B$8*'Inputs'!$B$5-SUM(J$5:J33),IF(H34&gt;'Inputs'!$B$9*'Inputs'!$B$5,MIN('Inputs'!$B$10*G34,'Inputs'!$B$8*'Inputs'!$B$5-SUM(J$5:J33)),0)))</f>
      </c>
      <c r="K34" s="15">
        <f>MAX(0,MIN('Inputs'!$B$11*G34,'Inputs'!$B$12*'Inputs'!$B$5-SUM(K$5:K33)))</f>
      </c>
      <c r="L34" s="15">
        <f>IF(A34='Inputs'!$B$7,SUM(K$5:K$53)/2,0)+IF(A34='Inputs'!$B$7+'Inputs'!$B$13,SUM(K$5:K$53)/2,0)</f>
      </c>
      <c r="M34" s="15">
        <f>G34+I34-J34-K34+L34</f>
      </c>
      <c r="N34" s="15">
        <f>N33+M34</f>
      </c>
    </row>
    <row r="35" spans="1:14" x14ac:dyDescent="0.25">
      <c r="A35">
        <v>30</v>
      </c>
      <c r="B35" s="18">
        <f>EDATE('Inputs'!$B$6,A35)</f>
      </c>
      <c r="C35" s="19">
        <f>IF(MONTH(B35)&gt;='Inputs'!$B$15,YEAR(B35)&amp;"/"&amp;RIGHT(YEAR(B35)+1,2),(YEAR(B35)-1)&amp;"/"&amp;RIGHT(YEAR(B35),2))</f>
      </c>
      <c r="D35" s="20">
        <f>IF(A35&gt;='Inputs'!$B$7,1,(1-COS(PI()*A35/'Inputs'!$B$7))/2)</f>
      </c>
      <c r="E35" s="15">
        <f>'Inputs'!$B$5*(D35-D34)</f>
      </c>
      <c r="F35" s="15">
        <f>SUMIF(Milestones!$D$5:$D$15,A35,Milestones!$E$5:$E$15)</f>
      </c>
      <c r="G35" s="15">
        <f>IF('Inputs'!$B$14=1,E35,F35)</f>
      </c>
      <c r="H35" s="15">
        <f>H34+G35</f>
      </c>
      <c r="I35" s="15">
        <f>IF(A35=0,'Inputs'!$B$8*'Inputs'!$B$5,0)</f>
      </c>
      <c r="J35" s="15">
        <f>MAX(0,IF(A35='Inputs'!$B$7,'Inputs'!$B$8*'Inputs'!$B$5-SUM(J$5:J34),IF(H35&gt;'Inputs'!$B$9*'Inputs'!$B$5,MIN('Inputs'!$B$10*G35,'Inputs'!$B$8*'Inputs'!$B$5-SUM(J$5:J34)),0)))</f>
      </c>
      <c r="K35" s="15">
        <f>MAX(0,MIN('Inputs'!$B$11*G35,'Inputs'!$B$12*'Inputs'!$B$5-SUM(K$5:K34)))</f>
      </c>
      <c r="L35" s="15">
        <f>IF(A35='Inputs'!$B$7,SUM(K$5:K$53)/2,0)+IF(A35='Inputs'!$B$7+'Inputs'!$B$13,SUM(K$5:K$53)/2,0)</f>
      </c>
      <c r="M35" s="15">
        <f>G35+I35-J35-K35+L35</f>
      </c>
      <c r="N35" s="15">
        <f>N34+M35</f>
      </c>
    </row>
    <row r="36" spans="1:14" x14ac:dyDescent="0.25">
      <c r="A36">
        <v>31</v>
      </c>
      <c r="B36" s="18">
        <f>EDATE('Inputs'!$B$6,A36)</f>
      </c>
      <c r="C36" s="19">
        <f>IF(MONTH(B36)&gt;='Inputs'!$B$15,YEAR(B36)&amp;"/"&amp;RIGHT(YEAR(B36)+1,2),(YEAR(B36)-1)&amp;"/"&amp;RIGHT(YEAR(B36),2))</f>
      </c>
      <c r="D36" s="20">
        <f>IF(A36&gt;='Inputs'!$B$7,1,(1-COS(PI()*A36/'Inputs'!$B$7))/2)</f>
      </c>
      <c r="E36" s="15">
        <f>'Inputs'!$B$5*(D36-D35)</f>
      </c>
      <c r="F36" s="15">
        <f>SUMIF(Milestones!$D$5:$D$15,A36,Milestones!$E$5:$E$15)</f>
      </c>
      <c r="G36" s="15">
        <f>IF('Inputs'!$B$14=1,E36,F36)</f>
      </c>
      <c r="H36" s="15">
        <f>H35+G36</f>
      </c>
      <c r="I36" s="15">
        <f>IF(A36=0,'Inputs'!$B$8*'Inputs'!$B$5,0)</f>
      </c>
      <c r="J36" s="15">
        <f>MAX(0,IF(A36='Inputs'!$B$7,'Inputs'!$B$8*'Inputs'!$B$5-SUM(J$5:J35),IF(H36&gt;'Inputs'!$B$9*'Inputs'!$B$5,MIN('Inputs'!$B$10*G36,'Inputs'!$B$8*'Inputs'!$B$5-SUM(J$5:J35)),0)))</f>
      </c>
      <c r="K36" s="15">
        <f>MAX(0,MIN('Inputs'!$B$11*G36,'Inputs'!$B$12*'Inputs'!$B$5-SUM(K$5:K35)))</f>
      </c>
      <c r="L36" s="15">
        <f>IF(A36='Inputs'!$B$7,SUM(K$5:K$53)/2,0)+IF(A36='Inputs'!$B$7+'Inputs'!$B$13,SUM(K$5:K$53)/2,0)</f>
      </c>
      <c r="M36" s="15">
        <f>G36+I36-J36-K36+L36</f>
      </c>
      <c r="N36" s="15">
        <f>N35+M36</f>
      </c>
    </row>
    <row r="37" spans="1:14" x14ac:dyDescent="0.25">
      <c r="A37">
        <v>32</v>
      </c>
      <c r="B37" s="18">
        <f>EDATE('Inputs'!$B$6,A37)</f>
      </c>
      <c r="C37" s="19">
        <f>IF(MONTH(B37)&gt;='Inputs'!$B$15,YEAR(B37)&amp;"/"&amp;RIGHT(YEAR(B37)+1,2),(YEAR(B37)-1)&amp;"/"&amp;RIGHT(YEAR(B37),2))</f>
      </c>
      <c r="D37" s="20">
        <f>IF(A37&gt;='Inputs'!$B$7,1,(1-COS(PI()*A37/'Inputs'!$B$7))/2)</f>
      </c>
      <c r="E37" s="15">
        <f>'Inputs'!$B$5*(D37-D36)</f>
      </c>
      <c r="F37" s="15">
        <f>SUMIF(Milestones!$D$5:$D$15,A37,Milestones!$E$5:$E$15)</f>
      </c>
      <c r="G37" s="15">
        <f>IF('Inputs'!$B$14=1,E37,F37)</f>
      </c>
      <c r="H37" s="15">
        <f>H36+G37</f>
      </c>
      <c r="I37" s="15">
        <f>IF(A37=0,'Inputs'!$B$8*'Inputs'!$B$5,0)</f>
      </c>
      <c r="J37" s="15">
        <f>MAX(0,IF(A37='Inputs'!$B$7,'Inputs'!$B$8*'Inputs'!$B$5-SUM(J$5:J36),IF(H37&gt;'Inputs'!$B$9*'Inputs'!$B$5,MIN('Inputs'!$B$10*G37,'Inputs'!$B$8*'Inputs'!$B$5-SUM(J$5:J36)),0)))</f>
      </c>
      <c r="K37" s="15">
        <f>MAX(0,MIN('Inputs'!$B$11*G37,'Inputs'!$B$12*'Inputs'!$B$5-SUM(K$5:K36)))</f>
      </c>
      <c r="L37" s="15">
        <f>IF(A37='Inputs'!$B$7,SUM(K$5:K$53)/2,0)+IF(A37='Inputs'!$B$7+'Inputs'!$B$13,SUM(K$5:K$53)/2,0)</f>
      </c>
      <c r="M37" s="15">
        <f>G37+I37-J37-K37+L37</f>
      </c>
      <c r="N37" s="15">
        <f>N36+M37</f>
      </c>
    </row>
    <row r="38" spans="1:14" x14ac:dyDescent="0.25">
      <c r="A38">
        <v>33</v>
      </c>
      <c r="B38" s="18">
        <f>EDATE('Inputs'!$B$6,A38)</f>
      </c>
      <c r="C38" s="19">
        <f>IF(MONTH(B38)&gt;='Inputs'!$B$15,YEAR(B38)&amp;"/"&amp;RIGHT(YEAR(B38)+1,2),(YEAR(B38)-1)&amp;"/"&amp;RIGHT(YEAR(B38),2))</f>
      </c>
      <c r="D38" s="20">
        <f>IF(A38&gt;='Inputs'!$B$7,1,(1-COS(PI()*A38/'Inputs'!$B$7))/2)</f>
      </c>
      <c r="E38" s="15">
        <f>'Inputs'!$B$5*(D38-D37)</f>
      </c>
      <c r="F38" s="15">
        <f>SUMIF(Milestones!$D$5:$D$15,A38,Milestones!$E$5:$E$15)</f>
      </c>
      <c r="G38" s="15">
        <f>IF('Inputs'!$B$14=1,E38,F38)</f>
      </c>
      <c r="H38" s="15">
        <f>H37+G38</f>
      </c>
      <c r="I38" s="15">
        <f>IF(A38=0,'Inputs'!$B$8*'Inputs'!$B$5,0)</f>
      </c>
      <c r="J38" s="15">
        <f>MAX(0,IF(A38='Inputs'!$B$7,'Inputs'!$B$8*'Inputs'!$B$5-SUM(J$5:J37),IF(H38&gt;'Inputs'!$B$9*'Inputs'!$B$5,MIN('Inputs'!$B$10*G38,'Inputs'!$B$8*'Inputs'!$B$5-SUM(J$5:J37)),0)))</f>
      </c>
      <c r="K38" s="15">
        <f>MAX(0,MIN('Inputs'!$B$11*G38,'Inputs'!$B$12*'Inputs'!$B$5-SUM(K$5:K37)))</f>
      </c>
      <c r="L38" s="15">
        <f>IF(A38='Inputs'!$B$7,SUM(K$5:K$53)/2,0)+IF(A38='Inputs'!$B$7+'Inputs'!$B$13,SUM(K$5:K$53)/2,0)</f>
      </c>
      <c r="M38" s="15">
        <f>G38+I38-J38-K38+L38</f>
      </c>
      <c r="N38" s="15">
        <f>N37+M38</f>
      </c>
    </row>
    <row r="39" spans="1:14" x14ac:dyDescent="0.25">
      <c r="A39">
        <v>34</v>
      </c>
      <c r="B39" s="18">
        <f>EDATE('Inputs'!$B$6,A39)</f>
      </c>
      <c r="C39" s="19">
        <f>IF(MONTH(B39)&gt;='Inputs'!$B$15,YEAR(B39)&amp;"/"&amp;RIGHT(YEAR(B39)+1,2),(YEAR(B39)-1)&amp;"/"&amp;RIGHT(YEAR(B39),2))</f>
      </c>
      <c r="D39" s="20">
        <f>IF(A39&gt;='Inputs'!$B$7,1,(1-COS(PI()*A39/'Inputs'!$B$7))/2)</f>
      </c>
      <c r="E39" s="15">
        <f>'Inputs'!$B$5*(D39-D38)</f>
      </c>
      <c r="F39" s="15">
        <f>SUMIF(Milestones!$D$5:$D$15,A39,Milestones!$E$5:$E$15)</f>
      </c>
      <c r="G39" s="15">
        <f>IF('Inputs'!$B$14=1,E39,F39)</f>
      </c>
      <c r="H39" s="15">
        <f>H38+G39</f>
      </c>
      <c r="I39" s="15">
        <f>IF(A39=0,'Inputs'!$B$8*'Inputs'!$B$5,0)</f>
      </c>
      <c r="J39" s="15">
        <f>MAX(0,IF(A39='Inputs'!$B$7,'Inputs'!$B$8*'Inputs'!$B$5-SUM(J$5:J38),IF(H39&gt;'Inputs'!$B$9*'Inputs'!$B$5,MIN('Inputs'!$B$10*G39,'Inputs'!$B$8*'Inputs'!$B$5-SUM(J$5:J38)),0)))</f>
      </c>
      <c r="K39" s="15">
        <f>MAX(0,MIN('Inputs'!$B$11*G39,'Inputs'!$B$12*'Inputs'!$B$5-SUM(K$5:K38)))</f>
      </c>
      <c r="L39" s="15">
        <f>IF(A39='Inputs'!$B$7,SUM(K$5:K$53)/2,0)+IF(A39='Inputs'!$B$7+'Inputs'!$B$13,SUM(K$5:K$53)/2,0)</f>
      </c>
      <c r="M39" s="15">
        <f>G39+I39-J39-K39+L39</f>
      </c>
      <c r="N39" s="15">
        <f>N38+M39</f>
      </c>
    </row>
    <row r="40" spans="1:14" x14ac:dyDescent="0.25">
      <c r="A40">
        <v>35</v>
      </c>
      <c r="B40" s="18">
        <f>EDATE('Inputs'!$B$6,A40)</f>
      </c>
      <c r="C40" s="19">
        <f>IF(MONTH(B40)&gt;='Inputs'!$B$15,YEAR(B40)&amp;"/"&amp;RIGHT(YEAR(B40)+1,2),(YEAR(B40)-1)&amp;"/"&amp;RIGHT(YEAR(B40),2))</f>
      </c>
      <c r="D40" s="20">
        <f>IF(A40&gt;='Inputs'!$B$7,1,(1-COS(PI()*A40/'Inputs'!$B$7))/2)</f>
      </c>
      <c r="E40" s="15">
        <f>'Inputs'!$B$5*(D40-D39)</f>
      </c>
      <c r="F40" s="15">
        <f>SUMIF(Milestones!$D$5:$D$15,A40,Milestones!$E$5:$E$15)</f>
      </c>
      <c r="G40" s="15">
        <f>IF('Inputs'!$B$14=1,E40,F40)</f>
      </c>
      <c r="H40" s="15">
        <f>H39+G40</f>
      </c>
      <c r="I40" s="15">
        <f>IF(A40=0,'Inputs'!$B$8*'Inputs'!$B$5,0)</f>
      </c>
      <c r="J40" s="15">
        <f>MAX(0,IF(A40='Inputs'!$B$7,'Inputs'!$B$8*'Inputs'!$B$5-SUM(J$5:J39),IF(H40&gt;'Inputs'!$B$9*'Inputs'!$B$5,MIN('Inputs'!$B$10*G40,'Inputs'!$B$8*'Inputs'!$B$5-SUM(J$5:J39)),0)))</f>
      </c>
      <c r="K40" s="15">
        <f>MAX(0,MIN('Inputs'!$B$11*G40,'Inputs'!$B$12*'Inputs'!$B$5-SUM(K$5:K39)))</f>
      </c>
      <c r="L40" s="15">
        <f>IF(A40='Inputs'!$B$7,SUM(K$5:K$53)/2,0)+IF(A40='Inputs'!$B$7+'Inputs'!$B$13,SUM(K$5:K$53)/2,0)</f>
      </c>
      <c r="M40" s="15">
        <f>G40+I40-J40-K40+L40</f>
      </c>
      <c r="N40" s="15">
        <f>N39+M40</f>
      </c>
    </row>
    <row r="41" spans="1:14" x14ac:dyDescent="0.25">
      <c r="A41">
        <v>36</v>
      </c>
      <c r="B41" s="18">
        <f>EDATE('Inputs'!$B$6,A41)</f>
      </c>
      <c r="C41" s="19">
        <f>IF(MONTH(B41)&gt;='Inputs'!$B$15,YEAR(B41)&amp;"/"&amp;RIGHT(YEAR(B41)+1,2),(YEAR(B41)-1)&amp;"/"&amp;RIGHT(YEAR(B41),2))</f>
      </c>
      <c r="D41" s="20">
        <f>IF(A41&gt;='Inputs'!$B$7,1,(1-COS(PI()*A41/'Inputs'!$B$7))/2)</f>
      </c>
      <c r="E41" s="15">
        <f>'Inputs'!$B$5*(D41-D40)</f>
      </c>
      <c r="F41" s="15">
        <f>SUMIF(Milestones!$D$5:$D$15,A41,Milestones!$E$5:$E$15)</f>
      </c>
      <c r="G41" s="15">
        <f>IF('Inputs'!$B$14=1,E41,F41)</f>
      </c>
      <c r="H41" s="15">
        <f>H40+G41</f>
      </c>
      <c r="I41" s="15">
        <f>IF(A41=0,'Inputs'!$B$8*'Inputs'!$B$5,0)</f>
      </c>
      <c r="J41" s="15">
        <f>MAX(0,IF(A41='Inputs'!$B$7,'Inputs'!$B$8*'Inputs'!$B$5-SUM(J$5:J40),IF(H41&gt;'Inputs'!$B$9*'Inputs'!$B$5,MIN('Inputs'!$B$10*G41,'Inputs'!$B$8*'Inputs'!$B$5-SUM(J$5:J40)),0)))</f>
      </c>
      <c r="K41" s="15">
        <f>MAX(0,MIN('Inputs'!$B$11*G41,'Inputs'!$B$12*'Inputs'!$B$5-SUM(K$5:K40)))</f>
      </c>
      <c r="L41" s="15">
        <f>IF(A41='Inputs'!$B$7,SUM(K$5:K$53)/2,0)+IF(A41='Inputs'!$B$7+'Inputs'!$B$13,SUM(K$5:K$53)/2,0)</f>
      </c>
      <c r="M41" s="15">
        <f>G41+I41-J41-K41+L41</f>
      </c>
      <c r="N41" s="15">
        <f>N40+M41</f>
      </c>
    </row>
    <row r="42" spans="1:14" x14ac:dyDescent="0.25">
      <c r="A42">
        <v>37</v>
      </c>
      <c r="B42" s="18">
        <f>EDATE('Inputs'!$B$6,A42)</f>
      </c>
      <c r="C42" s="19">
        <f>IF(MONTH(B42)&gt;='Inputs'!$B$15,YEAR(B42)&amp;"/"&amp;RIGHT(YEAR(B42)+1,2),(YEAR(B42)-1)&amp;"/"&amp;RIGHT(YEAR(B42),2))</f>
      </c>
      <c r="D42" s="20">
        <f>IF(A42&gt;='Inputs'!$B$7,1,(1-COS(PI()*A42/'Inputs'!$B$7))/2)</f>
      </c>
      <c r="E42" s="15">
        <f>'Inputs'!$B$5*(D42-D41)</f>
      </c>
      <c r="F42" s="15">
        <f>SUMIF(Milestones!$D$5:$D$15,A42,Milestones!$E$5:$E$15)</f>
      </c>
      <c r="G42" s="15">
        <f>IF('Inputs'!$B$14=1,E42,F42)</f>
      </c>
      <c r="H42" s="15">
        <f>H41+G42</f>
      </c>
      <c r="I42" s="15">
        <f>IF(A42=0,'Inputs'!$B$8*'Inputs'!$B$5,0)</f>
      </c>
      <c r="J42" s="15">
        <f>MAX(0,IF(A42='Inputs'!$B$7,'Inputs'!$B$8*'Inputs'!$B$5-SUM(J$5:J41),IF(H42&gt;'Inputs'!$B$9*'Inputs'!$B$5,MIN('Inputs'!$B$10*G42,'Inputs'!$B$8*'Inputs'!$B$5-SUM(J$5:J41)),0)))</f>
      </c>
      <c r="K42" s="15">
        <f>MAX(0,MIN('Inputs'!$B$11*G42,'Inputs'!$B$12*'Inputs'!$B$5-SUM(K$5:K41)))</f>
      </c>
      <c r="L42" s="15">
        <f>IF(A42='Inputs'!$B$7,SUM(K$5:K$53)/2,0)+IF(A42='Inputs'!$B$7+'Inputs'!$B$13,SUM(K$5:K$53)/2,0)</f>
      </c>
      <c r="M42" s="15">
        <f>G42+I42-J42-K42+L42</f>
      </c>
      <c r="N42" s="15">
        <f>N41+M42</f>
      </c>
    </row>
    <row r="43" spans="1:14" x14ac:dyDescent="0.25">
      <c r="A43">
        <v>38</v>
      </c>
      <c r="B43" s="18">
        <f>EDATE('Inputs'!$B$6,A43)</f>
      </c>
      <c r="C43" s="19">
        <f>IF(MONTH(B43)&gt;='Inputs'!$B$15,YEAR(B43)&amp;"/"&amp;RIGHT(YEAR(B43)+1,2),(YEAR(B43)-1)&amp;"/"&amp;RIGHT(YEAR(B43),2))</f>
      </c>
      <c r="D43" s="20">
        <f>IF(A43&gt;='Inputs'!$B$7,1,(1-COS(PI()*A43/'Inputs'!$B$7))/2)</f>
      </c>
      <c r="E43" s="15">
        <f>'Inputs'!$B$5*(D43-D42)</f>
      </c>
      <c r="F43" s="15">
        <f>SUMIF(Milestones!$D$5:$D$15,A43,Milestones!$E$5:$E$15)</f>
      </c>
      <c r="G43" s="15">
        <f>IF('Inputs'!$B$14=1,E43,F43)</f>
      </c>
      <c r="H43" s="15">
        <f>H42+G43</f>
      </c>
      <c r="I43" s="15">
        <f>IF(A43=0,'Inputs'!$B$8*'Inputs'!$B$5,0)</f>
      </c>
      <c r="J43" s="15">
        <f>MAX(0,IF(A43='Inputs'!$B$7,'Inputs'!$B$8*'Inputs'!$B$5-SUM(J$5:J42),IF(H43&gt;'Inputs'!$B$9*'Inputs'!$B$5,MIN('Inputs'!$B$10*G43,'Inputs'!$B$8*'Inputs'!$B$5-SUM(J$5:J42)),0)))</f>
      </c>
      <c r="K43" s="15">
        <f>MAX(0,MIN('Inputs'!$B$11*G43,'Inputs'!$B$12*'Inputs'!$B$5-SUM(K$5:K42)))</f>
      </c>
      <c r="L43" s="15">
        <f>IF(A43='Inputs'!$B$7,SUM(K$5:K$53)/2,0)+IF(A43='Inputs'!$B$7+'Inputs'!$B$13,SUM(K$5:K$53)/2,0)</f>
      </c>
      <c r="M43" s="15">
        <f>G43+I43-J43-K43+L43</f>
      </c>
      <c r="N43" s="15">
        <f>N42+M43</f>
      </c>
    </row>
    <row r="44" spans="1:14" x14ac:dyDescent="0.25">
      <c r="A44">
        <v>39</v>
      </c>
      <c r="B44" s="18">
        <f>EDATE('Inputs'!$B$6,A44)</f>
      </c>
      <c r="C44" s="19">
        <f>IF(MONTH(B44)&gt;='Inputs'!$B$15,YEAR(B44)&amp;"/"&amp;RIGHT(YEAR(B44)+1,2),(YEAR(B44)-1)&amp;"/"&amp;RIGHT(YEAR(B44),2))</f>
      </c>
      <c r="D44" s="20">
        <f>IF(A44&gt;='Inputs'!$B$7,1,(1-COS(PI()*A44/'Inputs'!$B$7))/2)</f>
      </c>
      <c r="E44" s="15">
        <f>'Inputs'!$B$5*(D44-D43)</f>
      </c>
      <c r="F44" s="15">
        <f>SUMIF(Milestones!$D$5:$D$15,A44,Milestones!$E$5:$E$15)</f>
      </c>
      <c r="G44" s="15">
        <f>IF('Inputs'!$B$14=1,E44,F44)</f>
      </c>
      <c r="H44" s="15">
        <f>H43+G44</f>
      </c>
      <c r="I44" s="15">
        <f>IF(A44=0,'Inputs'!$B$8*'Inputs'!$B$5,0)</f>
      </c>
      <c r="J44" s="15">
        <f>MAX(0,IF(A44='Inputs'!$B$7,'Inputs'!$B$8*'Inputs'!$B$5-SUM(J$5:J43),IF(H44&gt;'Inputs'!$B$9*'Inputs'!$B$5,MIN('Inputs'!$B$10*G44,'Inputs'!$B$8*'Inputs'!$B$5-SUM(J$5:J43)),0)))</f>
      </c>
      <c r="K44" s="15">
        <f>MAX(0,MIN('Inputs'!$B$11*G44,'Inputs'!$B$12*'Inputs'!$B$5-SUM(K$5:K43)))</f>
      </c>
      <c r="L44" s="15">
        <f>IF(A44='Inputs'!$B$7,SUM(K$5:K$53)/2,0)+IF(A44='Inputs'!$B$7+'Inputs'!$B$13,SUM(K$5:K$53)/2,0)</f>
      </c>
      <c r="M44" s="15">
        <f>G44+I44-J44-K44+L44</f>
      </c>
      <c r="N44" s="15">
        <f>N43+M44</f>
      </c>
    </row>
    <row r="45" spans="1:14" x14ac:dyDescent="0.25">
      <c r="A45">
        <v>40</v>
      </c>
      <c r="B45" s="18">
        <f>EDATE('Inputs'!$B$6,A45)</f>
      </c>
      <c r="C45" s="19">
        <f>IF(MONTH(B45)&gt;='Inputs'!$B$15,YEAR(B45)&amp;"/"&amp;RIGHT(YEAR(B45)+1,2),(YEAR(B45)-1)&amp;"/"&amp;RIGHT(YEAR(B45),2))</f>
      </c>
      <c r="D45" s="20">
        <f>IF(A45&gt;='Inputs'!$B$7,1,(1-COS(PI()*A45/'Inputs'!$B$7))/2)</f>
      </c>
      <c r="E45" s="15">
        <f>'Inputs'!$B$5*(D45-D44)</f>
      </c>
      <c r="F45" s="15">
        <f>SUMIF(Milestones!$D$5:$D$15,A45,Milestones!$E$5:$E$15)</f>
      </c>
      <c r="G45" s="15">
        <f>IF('Inputs'!$B$14=1,E45,F45)</f>
      </c>
      <c r="H45" s="15">
        <f>H44+G45</f>
      </c>
      <c r="I45" s="15">
        <f>IF(A45=0,'Inputs'!$B$8*'Inputs'!$B$5,0)</f>
      </c>
      <c r="J45" s="15">
        <f>MAX(0,IF(A45='Inputs'!$B$7,'Inputs'!$B$8*'Inputs'!$B$5-SUM(J$5:J44),IF(H45&gt;'Inputs'!$B$9*'Inputs'!$B$5,MIN('Inputs'!$B$10*G45,'Inputs'!$B$8*'Inputs'!$B$5-SUM(J$5:J44)),0)))</f>
      </c>
      <c r="K45" s="15">
        <f>MAX(0,MIN('Inputs'!$B$11*G45,'Inputs'!$B$12*'Inputs'!$B$5-SUM(K$5:K44)))</f>
      </c>
      <c r="L45" s="15">
        <f>IF(A45='Inputs'!$B$7,SUM(K$5:K$53)/2,0)+IF(A45='Inputs'!$B$7+'Inputs'!$B$13,SUM(K$5:K$53)/2,0)</f>
      </c>
      <c r="M45" s="15">
        <f>G45+I45-J45-K45+L45</f>
      </c>
      <c r="N45" s="15">
        <f>N44+M45</f>
      </c>
    </row>
    <row r="46" spans="1:14" x14ac:dyDescent="0.25">
      <c r="A46">
        <v>41</v>
      </c>
      <c r="B46" s="18">
        <f>EDATE('Inputs'!$B$6,A46)</f>
      </c>
      <c r="C46" s="19">
        <f>IF(MONTH(B46)&gt;='Inputs'!$B$15,YEAR(B46)&amp;"/"&amp;RIGHT(YEAR(B46)+1,2),(YEAR(B46)-1)&amp;"/"&amp;RIGHT(YEAR(B46),2))</f>
      </c>
      <c r="D46" s="20">
        <f>IF(A46&gt;='Inputs'!$B$7,1,(1-COS(PI()*A46/'Inputs'!$B$7))/2)</f>
      </c>
      <c r="E46" s="15">
        <f>'Inputs'!$B$5*(D46-D45)</f>
      </c>
      <c r="F46" s="15">
        <f>SUMIF(Milestones!$D$5:$D$15,A46,Milestones!$E$5:$E$15)</f>
      </c>
      <c r="G46" s="15">
        <f>IF('Inputs'!$B$14=1,E46,F46)</f>
      </c>
      <c r="H46" s="15">
        <f>H45+G46</f>
      </c>
      <c r="I46" s="15">
        <f>IF(A46=0,'Inputs'!$B$8*'Inputs'!$B$5,0)</f>
      </c>
      <c r="J46" s="15">
        <f>MAX(0,IF(A46='Inputs'!$B$7,'Inputs'!$B$8*'Inputs'!$B$5-SUM(J$5:J45),IF(H46&gt;'Inputs'!$B$9*'Inputs'!$B$5,MIN('Inputs'!$B$10*G46,'Inputs'!$B$8*'Inputs'!$B$5-SUM(J$5:J45)),0)))</f>
      </c>
      <c r="K46" s="15">
        <f>MAX(0,MIN('Inputs'!$B$11*G46,'Inputs'!$B$12*'Inputs'!$B$5-SUM(K$5:K45)))</f>
      </c>
      <c r="L46" s="15">
        <f>IF(A46='Inputs'!$B$7,SUM(K$5:K$53)/2,0)+IF(A46='Inputs'!$B$7+'Inputs'!$B$13,SUM(K$5:K$53)/2,0)</f>
      </c>
      <c r="M46" s="15">
        <f>G46+I46-J46-K46+L46</f>
      </c>
      <c r="N46" s="15">
        <f>N45+M46</f>
      </c>
    </row>
    <row r="47" spans="1:14" x14ac:dyDescent="0.25">
      <c r="A47">
        <v>42</v>
      </c>
      <c r="B47" s="18">
        <f>EDATE('Inputs'!$B$6,A47)</f>
      </c>
      <c r="C47" s="19">
        <f>IF(MONTH(B47)&gt;='Inputs'!$B$15,YEAR(B47)&amp;"/"&amp;RIGHT(YEAR(B47)+1,2),(YEAR(B47)-1)&amp;"/"&amp;RIGHT(YEAR(B47),2))</f>
      </c>
      <c r="D47" s="20">
        <f>IF(A47&gt;='Inputs'!$B$7,1,(1-COS(PI()*A47/'Inputs'!$B$7))/2)</f>
      </c>
      <c r="E47" s="15">
        <f>'Inputs'!$B$5*(D47-D46)</f>
      </c>
      <c r="F47" s="15">
        <f>SUMIF(Milestones!$D$5:$D$15,A47,Milestones!$E$5:$E$15)</f>
      </c>
      <c r="G47" s="15">
        <f>IF('Inputs'!$B$14=1,E47,F47)</f>
      </c>
      <c r="H47" s="15">
        <f>H46+G47</f>
      </c>
      <c r="I47" s="15">
        <f>IF(A47=0,'Inputs'!$B$8*'Inputs'!$B$5,0)</f>
      </c>
      <c r="J47" s="15">
        <f>MAX(0,IF(A47='Inputs'!$B$7,'Inputs'!$B$8*'Inputs'!$B$5-SUM(J$5:J46),IF(H47&gt;'Inputs'!$B$9*'Inputs'!$B$5,MIN('Inputs'!$B$10*G47,'Inputs'!$B$8*'Inputs'!$B$5-SUM(J$5:J46)),0)))</f>
      </c>
      <c r="K47" s="15">
        <f>MAX(0,MIN('Inputs'!$B$11*G47,'Inputs'!$B$12*'Inputs'!$B$5-SUM(K$5:K46)))</f>
      </c>
      <c r="L47" s="15">
        <f>IF(A47='Inputs'!$B$7,SUM(K$5:K$53)/2,0)+IF(A47='Inputs'!$B$7+'Inputs'!$B$13,SUM(K$5:K$53)/2,0)</f>
      </c>
      <c r="M47" s="15">
        <f>G47+I47-J47-K47+L47</f>
      </c>
      <c r="N47" s="15">
        <f>N46+M47</f>
      </c>
    </row>
    <row r="48" spans="1:14" x14ac:dyDescent="0.25">
      <c r="A48">
        <v>43</v>
      </c>
      <c r="B48" s="18">
        <f>EDATE('Inputs'!$B$6,A48)</f>
      </c>
      <c r="C48" s="19">
        <f>IF(MONTH(B48)&gt;='Inputs'!$B$15,YEAR(B48)&amp;"/"&amp;RIGHT(YEAR(B48)+1,2),(YEAR(B48)-1)&amp;"/"&amp;RIGHT(YEAR(B48),2))</f>
      </c>
      <c r="D48" s="20">
        <f>IF(A48&gt;='Inputs'!$B$7,1,(1-COS(PI()*A48/'Inputs'!$B$7))/2)</f>
      </c>
      <c r="E48" s="15">
        <f>'Inputs'!$B$5*(D48-D47)</f>
      </c>
      <c r="F48" s="15">
        <f>SUMIF(Milestones!$D$5:$D$15,A48,Milestones!$E$5:$E$15)</f>
      </c>
      <c r="G48" s="15">
        <f>IF('Inputs'!$B$14=1,E48,F48)</f>
      </c>
      <c r="H48" s="15">
        <f>H47+G48</f>
      </c>
      <c r="I48" s="15">
        <f>IF(A48=0,'Inputs'!$B$8*'Inputs'!$B$5,0)</f>
      </c>
      <c r="J48" s="15">
        <f>MAX(0,IF(A48='Inputs'!$B$7,'Inputs'!$B$8*'Inputs'!$B$5-SUM(J$5:J47),IF(H48&gt;'Inputs'!$B$9*'Inputs'!$B$5,MIN('Inputs'!$B$10*G48,'Inputs'!$B$8*'Inputs'!$B$5-SUM(J$5:J47)),0)))</f>
      </c>
      <c r="K48" s="15">
        <f>MAX(0,MIN('Inputs'!$B$11*G48,'Inputs'!$B$12*'Inputs'!$B$5-SUM(K$5:K47)))</f>
      </c>
      <c r="L48" s="15">
        <f>IF(A48='Inputs'!$B$7,SUM(K$5:K$53)/2,0)+IF(A48='Inputs'!$B$7+'Inputs'!$B$13,SUM(K$5:K$53)/2,0)</f>
      </c>
      <c r="M48" s="15">
        <f>G48+I48-J48-K48+L48</f>
      </c>
      <c r="N48" s="15">
        <f>N47+M48</f>
      </c>
    </row>
    <row r="49" spans="1:14" x14ac:dyDescent="0.25">
      <c r="A49">
        <v>44</v>
      </c>
      <c r="B49" s="18">
        <f>EDATE('Inputs'!$B$6,A49)</f>
      </c>
      <c r="C49" s="19">
        <f>IF(MONTH(B49)&gt;='Inputs'!$B$15,YEAR(B49)&amp;"/"&amp;RIGHT(YEAR(B49)+1,2),(YEAR(B49)-1)&amp;"/"&amp;RIGHT(YEAR(B49),2))</f>
      </c>
      <c r="D49" s="20">
        <f>IF(A49&gt;='Inputs'!$B$7,1,(1-COS(PI()*A49/'Inputs'!$B$7))/2)</f>
      </c>
      <c r="E49" s="15">
        <f>'Inputs'!$B$5*(D49-D48)</f>
      </c>
      <c r="F49" s="15">
        <f>SUMIF(Milestones!$D$5:$D$15,A49,Milestones!$E$5:$E$15)</f>
      </c>
      <c r="G49" s="15">
        <f>IF('Inputs'!$B$14=1,E49,F49)</f>
      </c>
      <c r="H49" s="15">
        <f>H48+G49</f>
      </c>
      <c r="I49" s="15">
        <f>IF(A49=0,'Inputs'!$B$8*'Inputs'!$B$5,0)</f>
      </c>
      <c r="J49" s="15">
        <f>MAX(0,IF(A49='Inputs'!$B$7,'Inputs'!$B$8*'Inputs'!$B$5-SUM(J$5:J48),IF(H49&gt;'Inputs'!$B$9*'Inputs'!$B$5,MIN('Inputs'!$B$10*G49,'Inputs'!$B$8*'Inputs'!$B$5-SUM(J$5:J48)),0)))</f>
      </c>
      <c r="K49" s="15">
        <f>MAX(0,MIN('Inputs'!$B$11*G49,'Inputs'!$B$12*'Inputs'!$B$5-SUM(K$5:K48)))</f>
      </c>
      <c r="L49" s="15">
        <f>IF(A49='Inputs'!$B$7,SUM(K$5:K$53)/2,0)+IF(A49='Inputs'!$B$7+'Inputs'!$B$13,SUM(K$5:K$53)/2,0)</f>
      </c>
      <c r="M49" s="15">
        <f>G49+I49-J49-K49+L49</f>
      </c>
      <c r="N49" s="15">
        <f>N48+M49</f>
      </c>
    </row>
    <row r="50" spans="1:14" x14ac:dyDescent="0.25">
      <c r="A50">
        <v>45</v>
      </c>
      <c r="B50" s="18">
        <f>EDATE('Inputs'!$B$6,A50)</f>
      </c>
      <c r="C50" s="19">
        <f>IF(MONTH(B50)&gt;='Inputs'!$B$15,YEAR(B50)&amp;"/"&amp;RIGHT(YEAR(B50)+1,2),(YEAR(B50)-1)&amp;"/"&amp;RIGHT(YEAR(B50),2))</f>
      </c>
      <c r="D50" s="20">
        <f>IF(A50&gt;='Inputs'!$B$7,1,(1-COS(PI()*A50/'Inputs'!$B$7))/2)</f>
      </c>
      <c r="E50" s="15">
        <f>'Inputs'!$B$5*(D50-D49)</f>
      </c>
      <c r="F50" s="15">
        <f>SUMIF(Milestones!$D$5:$D$15,A50,Milestones!$E$5:$E$15)</f>
      </c>
      <c r="G50" s="15">
        <f>IF('Inputs'!$B$14=1,E50,F50)</f>
      </c>
      <c r="H50" s="15">
        <f>H49+G50</f>
      </c>
      <c r="I50" s="15">
        <f>IF(A50=0,'Inputs'!$B$8*'Inputs'!$B$5,0)</f>
      </c>
      <c r="J50" s="15">
        <f>MAX(0,IF(A50='Inputs'!$B$7,'Inputs'!$B$8*'Inputs'!$B$5-SUM(J$5:J49),IF(H50&gt;'Inputs'!$B$9*'Inputs'!$B$5,MIN('Inputs'!$B$10*G50,'Inputs'!$B$8*'Inputs'!$B$5-SUM(J$5:J49)),0)))</f>
      </c>
      <c r="K50" s="15">
        <f>MAX(0,MIN('Inputs'!$B$11*G50,'Inputs'!$B$12*'Inputs'!$B$5-SUM(K$5:K49)))</f>
      </c>
      <c r="L50" s="15">
        <f>IF(A50='Inputs'!$B$7,SUM(K$5:K$53)/2,0)+IF(A50='Inputs'!$B$7+'Inputs'!$B$13,SUM(K$5:K$53)/2,0)</f>
      </c>
      <c r="M50" s="15">
        <f>G50+I50-J50-K50+L50</f>
      </c>
      <c r="N50" s="15">
        <f>N49+M50</f>
      </c>
    </row>
    <row r="51" spans="1:14" x14ac:dyDescent="0.25">
      <c r="A51">
        <v>46</v>
      </c>
      <c r="B51" s="18">
        <f>EDATE('Inputs'!$B$6,A51)</f>
      </c>
      <c r="C51" s="19">
        <f>IF(MONTH(B51)&gt;='Inputs'!$B$15,YEAR(B51)&amp;"/"&amp;RIGHT(YEAR(B51)+1,2),(YEAR(B51)-1)&amp;"/"&amp;RIGHT(YEAR(B51),2))</f>
      </c>
      <c r="D51" s="20">
        <f>IF(A51&gt;='Inputs'!$B$7,1,(1-COS(PI()*A51/'Inputs'!$B$7))/2)</f>
      </c>
      <c r="E51" s="15">
        <f>'Inputs'!$B$5*(D51-D50)</f>
      </c>
      <c r="F51" s="15">
        <f>SUMIF(Milestones!$D$5:$D$15,A51,Milestones!$E$5:$E$15)</f>
      </c>
      <c r="G51" s="15">
        <f>IF('Inputs'!$B$14=1,E51,F51)</f>
      </c>
      <c r="H51" s="15">
        <f>H50+G51</f>
      </c>
      <c r="I51" s="15">
        <f>IF(A51=0,'Inputs'!$B$8*'Inputs'!$B$5,0)</f>
      </c>
      <c r="J51" s="15">
        <f>MAX(0,IF(A51='Inputs'!$B$7,'Inputs'!$B$8*'Inputs'!$B$5-SUM(J$5:J50),IF(H51&gt;'Inputs'!$B$9*'Inputs'!$B$5,MIN('Inputs'!$B$10*G51,'Inputs'!$B$8*'Inputs'!$B$5-SUM(J$5:J50)),0)))</f>
      </c>
      <c r="K51" s="15">
        <f>MAX(0,MIN('Inputs'!$B$11*G51,'Inputs'!$B$12*'Inputs'!$B$5-SUM(K$5:K50)))</f>
      </c>
      <c r="L51" s="15">
        <f>IF(A51='Inputs'!$B$7,SUM(K$5:K$53)/2,0)+IF(A51='Inputs'!$B$7+'Inputs'!$B$13,SUM(K$5:K$53)/2,0)</f>
      </c>
      <c r="M51" s="15">
        <f>G51+I51-J51-K51+L51</f>
      </c>
      <c r="N51" s="15">
        <f>N50+M51</f>
      </c>
    </row>
    <row r="52" spans="1:14" x14ac:dyDescent="0.25">
      <c r="A52">
        <v>47</v>
      </c>
      <c r="B52" s="18">
        <f>EDATE('Inputs'!$B$6,A52)</f>
      </c>
      <c r="C52" s="19">
        <f>IF(MONTH(B52)&gt;='Inputs'!$B$15,YEAR(B52)&amp;"/"&amp;RIGHT(YEAR(B52)+1,2),(YEAR(B52)-1)&amp;"/"&amp;RIGHT(YEAR(B52),2))</f>
      </c>
      <c r="D52" s="20">
        <f>IF(A52&gt;='Inputs'!$B$7,1,(1-COS(PI()*A52/'Inputs'!$B$7))/2)</f>
      </c>
      <c r="E52" s="15">
        <f>'Inputs'!$B$5*(D52-D51)</f>
      </c>
      <c r="F52" s="15">
        <f>SUMIF(Milestones!$D$5:$D$15,A52,Milestones!$E$5:$E$15)</f>
      </c>
      <c r="G52" s="15">
        <f>IF('Inputs'!$B$14=1,E52,F52)</f>
      </c>
      <c r="H52" s="15">
        <f>H51+G52</f>
      </c>
      <c r="I52" s="15">
        <f>IF(A52=0,'Inputs'!$B$8*'Inputs'!$B$5,0)</f>
      </c>
      <c r="J52" s="15">
        <f>MAX(0,IF(A52='Inputs'!$B$7,'Inputs'!$B$8*'Inputs'!$B$5-SUM(J$5:J51),IF(H52&gt;'Inputs'!$B$9*'Inputs'!$B$5,MIN('Inputs'!$B$10*G52,'Inputs'!$B$8*'Inputs'!$B$5-SUM(J$5:J51)),0)))</f>
      </c>
      <c r="K52" s="15">
        <f>MAX(0,MIN('Inputs'!$B$11*G52,'Inputs'!$B$12*'Inputs'!$B$5-SUM(K$5:K51)))</f>
      </c>
      <c r="L52" s="15">
        <f>IF(A52='Inputs'!$B$7,SUM(K$5:K$53)/2,0)+IF(A52='Inputs'!$B$7+'Inputs'!$B$13,SUM(K$5:K$53)/2,0)</f>
      </c>
      <c r="M52" s="15">
        <f>G52+I52-J52-K52+L52</f>
      </c>
      <c r="N52" s="15">
        <f>N51+M52</f>
      </c>
    </row>
    <row r="53" spans="1:14" x14ac:dyDescent="0.25">
      <c r="A53">
        <v>48</v>
      </c>
      <c r="B53" s="18">
        <f>EDATE('Inputs'!$B$6,A53)</f>
      </c>
      <c r="C53" s="19">
        <f>IF(MONTH(B53)&gt;='Inputs'!$B$15,YEAR(B53)&amp;"/"&amp;RIGHT(YEAR(B53)+1,2),(YEAR(B53)-1)&amp;"/"&amp;RIGHT(YEAR(B53),2))</f>
      </c>
      <c r="D53" s="20">
        <f>IF(A53&gt;='Inputs'!$B$7,1,(1-COS(PI()*A53/'Inputs'!$B$7))/2)</f>
      </c>
      <c r="E53" s="15">
        <f>'Inputs'!$B$5*(D53-D52)</f>
      </c>
      <c r="F53" s="15">
        <f>SUMIF(Milestones!$D$5:$D$15,A53,Milestones!$E$5:$E$15)</f>
      </c>
      <c r="G53" s="15">
        <f>IF('Inputs'!$B$14=1,E53,F53)</f>
      </c>
      <c r="H53" s="15">
        <f>H52+G53</f>
      </c>
      <c r="I53" s="15">
        <f>IF(A53=0,'Inputs'!$B$8*'Inputs'!$B$5,0)</f>
      </c>
      <c r="J53" s="15">
        <f>MAX(0,IF(A53='Inputs'!$B$7,'Inputs'!$B$8*'Inputs'!$B$5-SUM(J$5:J52),IF(H53&gt;'Inputs'!$B$9*'Inputs'!$B$5,MIN('Inputs'!$B$10*G53,'Inputs'!$B$8*'Inputs'!$B$5-SUM(J$5:J52)),0)))</f>
      </c>
      <c r="K53" s="15">
        <f>MAX(0,MIN('Inputs'!$B$11*G53,'Inputs'!$B$12*'Inputs'!$B$5-SUM(K$5:K52)))</f>
      </c>
      <c r="L53" s="15">
        <f>IF(A53='Inputs'!$B$7,SUM(K$5:K$53)/2,0)+IF(A53='Inputs'!$B$7+'Inputs'!$B$13,SUM(K$5:K$53)/2,0)</f>
      </c>
      <c r="M53" s="15">
        <f>G53+I53-J53-K53+L53</f>
      </c>
      <c r="N53" s="15">
        <f>N52+M53</f>
      </c>
    </row>
    <row r="54" spans="1:13" x14ac:dyDescent="0.25">
      <c r="A54" t="s">
        <v>81</v>
      </c>
      <c r="G54" s="17">
        <f>SUM(G5:G53)</f>
      </c>
      <c r="I54" s="17">
        <f>SUM(I5:I53)</f>
      </c>
      <c r="J54" s="17">
        <f>SUM(J5:J53)</f>
      </c>
      <c r="K54" s="17">
        <f>SUM(K5:K53)</f>
      </c>
      <c r="L54" s="17">
        <f>SUM(L5:L53)</f>
      </c>
      <c r="M54" s="17">
        <f>SUM(M5:M53)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FormatPr defaultRowHeight="15" outlineLevelRow="0" outlineLevelCol="0" x14ac:dyDescent="55"/>
  <cols>
    <col min="1" max="1" width="14" customWidth="1"/>
    <col min="2" max="8" width="16" customWidth="1"/>
  </cols>
  <sheetData>
    <row r="1" spans="1:1" x14ac:dyDescent="0.25">
      <c r="A1" s="6" t="s">
        <v>82</v>
      </c>
    </row>
    <row r="2" spans="1:1" x14ac:dyDescent="0.25">
      <c r="A2" s="13" t="s">
        <v>83</v>
      </c>
    </row>
    <row r="4" ht="32" customHeight="1" spans="1:8" x14ac:dyDescent="0.25">
      <c r="A4" s="7" t="s">
        <v>69</v>
      </c>
      <c r="B4" s="7" t="s">
        <v>84</v>
      </c>
      <c r="C4" s="7" t="s">
        <v>75</v>
      </c>
      <c r="D4" s="7" t="s">
        <v>85</v>
      </c>
      <c r="E4" s="7" t="s">
        <v>77</v>
      </c>
      <c r="F4" s="7" t="s">
        <v>86</v>
      </c>
      <c r="G4" s="7" t="s">
        <v>87</v>
      </c>
      <c r="H4" s="7" t="s">
        <v>88</v>
      </c>
    </row>
    <row r="5" spans="1:8" x14ac:dyDescent="0.25">
      <c r="A5">
        <f>(YEAR('Inputs'!$B$6)-IF(MONTH('Inputs'!$B$6)&lt;'Inputs'!$B$15,1,0)+0)&amp;"/"&amp;RIGHT((YEAR('Inputs'!$B$6)-IF(MONTH('Inputs'!$B$6)&lt;'Inputs'!$B$15,1,0)+0)+1,2)</f>
      </c>
      <c r="B5" s="15">
        <f>SUMIF(Monthly!$C$5:$C$53,$A5,Monthly!$G$5:$G$53)</f>
      </c>
      <c r="C5" s="15">
        <f>SUMIF(Monthly!$C$5:$C$53,$A5,Monthly!$I$5:$I$53)</f>
      </c>
      <c r="D5" s="15">
        <f>SUMIF(Monthly!$C$5:$C$53,$A5,Monthly!$J$5:$J$53)</f>
      </c>
      <c r="E5" s="15">
        <f>SUMIF(Monthly!$C$5:$C$53,$A5,Monthly!$K$5:$K$53)</f>
      </c>
      <c r="F5" s="15">
        <f>SUMIF(Monthly!$C$5:$C$53,$A5,Monthly!$L$5:$L$53)</f>
      </c>
      <c r="G5" s="17">
        <f>SUMIF(Monthly!$C$5:$C$53,$A5,Monthly!$M$5:$M$53)</f>
      </c>
      <c r="H5" s="15">
        <f>G5</f>
      </c>
    </row>
    <row r="6" spans="1:8" x14ac:dyDescent="0.25">
      <c r="A6">
        <f>(YEAR('Inputs'!$B$6)-IF(MONTH('Inputs'!$B$6)&lt;'Inputs'!$B$15,1,0)+1)&amp;"/"&amp;RIGHT((YEAR('Inputs'!$B$6)-IF(MONTH('Inputs'!$B$6)&lt;'Inputs'!$B$15,1,0)+1)+1,2)</f>
      </c>
      <c r="B6" s="15">
        <f>SUMIF(Monthly!$C$5:$C$53,$A6,Monthly!$G$5:$G$53)</f>
      </c>
      <c r="C6" s="15">
        <f>SUMIF(Monthly!$C$5:$C$53,$A6,Monthly!$I$5:$I$53)</f>
      </c>
      <c r="D6" s="15">
        <f>SUMIF(Monthly!$C$5:$C$53,$A6,Monthly!$J$5:$J$53)</f>
      </c>
      <c r="E6" s="15">
        <f>SUMIF(Monthly!$C$5:$C$53,$A6,Monthly!$K$5:$K$53)</f>
      </c>
      <c r="F6" s="15">
        <f>SUMIF(Monthly!$C$5:$C$53,$A6,Monthly!$L$5:$L$53)</f>
      </c>
      <c r="G6" s="17">
        <f>SUMIF(Monthly!$C$5:$C$53,$A6,Monthly!$M$5:$M$53)</f>
      </c>
      <c r="H6" s="15">
        <f>H5+G6</f>
      </c>
    </row>
    <row r="7" spans="1:8" x14ac:dyDescent="0.25">
      <c r="A7">
        <f>(YEAR('Inputs'!$B$6)-IF(MONTH('Inputs'!$B$6)&lt;'Inputs'!$B$15,1,0)+2)&amp;"/"&amp;RIGHT((YEAR('Inputs'!$B$6)-IF(MONTH('Inputs'!$B$6)&lt;'Inputs'!$B$15,1,0)+2)+1,2)</f>
      </c>
      <c r="B7" s="15">
        <f>SUMIF(Monthly!$C$5:$C$53,$A7,Monthly!$G$5:$G$53)</f>
      </c>
      <c r="C7" s="15">
        <f>SUMIF(Monthly!$C$5:$C$53,$A7,Monthly!$I$5:$I$53)</f>
      </c>
      <c r="D7" s="15">
        <f>SUMIF(Monthly!$C$5:$C$53,$A7,Monthly!$J$5:$J$53)</f>
      </c>
      <c r="E7" s="15">
        <f>SUMIF(Monthly!$C$5:$C$53,$A7,Monthly!$K$5:$K$53)</f>
      </c>
      <c r="F7" s="15">
        <f>SUMIF(Monthly!$C$5:$C$53,$A7,Monthly!$L$5:$L$53)</f>
      </c>
      <c r="G7" s="17">
        <f>SUMIF(Monthly!$C$5:$C$53,$A7,Monthly!$M$5:$M$53)</f>
      </c>
      <c r="H7" s="15">
        <f>H6+G7</f>
      </c>
    </row>
    <row r="8" spans="1:8" x14ac:dyDescent="0.25">
      <c r="A8">
        <f>(YEAR('Inputs'!$B$6)-IF(MONTH('Inputs'!$B$6)&lt;'Inputs'!$B$15,1,0)+3)&amp;"/"&amp;RIGHT((YEAR('Inputs'!$B$6)-IF(MONTH('Inputs'!$B$6)&lt;'Inputs'!$B$15,1,0)+3)+1,2)</f>
      </c>
      <c r="B8" s="15">
        <f>SUMIF(Monthly!$C$5:$C$53,$A8,Monthly!$G$5:$G$53)</f>
      </c>
      <c r="C8" s="15">
        <f>SUMIF(Monthly!$C$5:$C$53,$A8,Monthly!$I$5:$I$53)</f>
      </c>
      <c r="D8" s="15">
        <f>SUMIF(Monthly!$C$5:$C$53,$A8,Monthly!$J$5:$J$53)</f>
      </c>
      <c r="E8" s="15">
        <f>SUMIF(Monthly!$C$5:$C$53,$A8,Monthly!$K$5:$K$53)</f>
      </c>
      <c r="F8" s="15">
        <f>SUMIF(Monthly!$C$5:$C$53,$A8,Monthly!$L$5:$L$53)</f>
      </c>
      <c r="G8" s="17">
        <f>SUMIF(Monthly!$C$5:$C$53,$A8,Monthly!$M$5:$M$53)</f>
      </c>
      <c r="H8" s="15">
        <f>H7+G8</f>
      </c>
    </row>
    <row r="9" spans="1:8" x14ac:dyDescent="0.25">
      <c r="A9">
        <f>(YEAR('Inputs'!$B$6)-IF(MONTH('Inputs'!$B$6)&lt;'Inputs'!$B$15,1,0)+4)&amp;"/"&amp;RIGHT((YEAR('Inputs'!$B$6)-IF(MONTH('Inputs'!$B$6)&lt;'Inputs'!$B$15,1,0)+4)+1,2)</f>
      </c>
      <c r="B9" s="15">
        <f>SUMIF(Monthly!$C$5:$C$53,$A9,Monthly!$G$5:$G$53)</f>
      </c>
      <c r="C9" s="15">
        <f>SUMIF(Monthly!$C$5:$C$53,$A9,Monthly!$I$5:$I$53)</f>
      </c>
      <c r="D9" s="15">
        <f>SUMIF(Monthly!$C$5:$C$53,$A9,Monthly!$J$5:$J$53)</f>
      </c>
      <c r="E9" s="15">
        <f>SUMIF(Monthly!$C$5:$C$53,$A9,Monthly!$K$5:$K$53)</f>
      </c>
      <c r="F9" s="15">
        <f>SUMIF(Monthly!$C$5:$C$53,$A9,Monthly!$L$5:$L$53)</f>
      </c>
      <c r="G9" s="17">
        <f>SUMIF(Monthly!$C$5:$C$53,$A9,Monthly!$M$5:$M$53)</f>
      </c>
      <c r="H9" s="15">
        <f>H8+G9</f>
      </c>
    </row>
    <row r="11" spans="1:7" x14ac:dyDescent="0.25">
      <c r="A11" t="s">
        <v>89</v>
      </c>
      <c r="G11" s="21">
        <f>SUM(G5:G9)-'Inputs'!$B$5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50" customWidth="1"/>
    <col min="2" max="6" width="16" customWidth="1"/>
  </cols>
  <sheetData>
    <row r="1" spans="1:1" x14ac:dyDescent="0.25">
      <c r="A1" s="6" t="s">
        <v>90</v>
      </c>
    </row>
    <row r="2" spans="1:1" x14ac:dyDescent="0.25">
      <c r="A2" s="13" t="s">
        <v>91</v>
      </c>
    </row>
    <row r="4" ht="32" customHeight="1" spans="1:4" x14ac:dyDescent="0.25">
      <c r="A4" s="7" t="s">
        <v>18</v>
      </c>
      <c r="B4" s="7" t="s">
        <v>19</v>
      </c>
      <c r="C4" s="7" t="s">
        <v>20</v>
      </c>
      <c r="D4" s="7" t="s">
        <v>21</v>
      </c>
    </row>
    <row r="5" spans="1:4" x14ac:dyDescent="0.25">
      <c r="A5" t="s">
        <v>92</v>
      </c>
      <c r="B5" s="8">
        <v>4.5</v>
      </c>
      <c r="C5" t="s">
        <v>23</v>
      </c>
      <c r="D5" s="9" t="s">
        <v>93</v>
      </c>
    </row>
    <row r="6" spans="1:4" x14ac:dyDescent="0.25">
      <c r="A6" t="s">
        <v>94</v>
      </c>
      <c r="B6" s="8">
        <v>2</v>
      </c>
      <c r="C6" t="s">
        <v>23</v>
      </c>
      <c r="D6" s="9" t="s">
        <v>24</v>
      </c>
    </row>
    <row r="9" ht="32" customHeight="1" spans="1:6" x14ac:dyDescent="0.25">
      <c r="A9" s="7" t="s">
        <v>95</v>
      </c>
      <c r="B9" s="7" t="s">
        <v>96</v>
      </c>
      <c r="C9" s="7" t="s">
        <v>19</v>
      </c>
      <c r="D9" s="7" t="s">
        <v>97</v>
      </c>
      <c r="E9" s="7" t="s">
        <v>98</v>
      </c>
      <c r="F9" s="7" t="s">
        <v>99</v>
      </c>
    </row>
    <row r="10" spans="1:6" x14ac:dyDescent="0.25">
      <c r="A10" t="s">
        <v>100</v>
      </c>
      <c r="B10" s="14" t="s">
        <v>101</v>
      </c>
      <c r="C10" s="8">
        <v>0.95</v>
      </c>
      <c r="D10" s="22">
        <v>1</v>
      </c>
      <c r="E10" s="15">
        <f>C10*D10</f>
      </c>
      <c r="F10">
        <f>IF(B10="Approved","Drawn","Forecast")</f>
      </c>
    </row>
    <row r="11" spans="1:6" x14ac:dyDescent="0.25">
      <c r="A11" t="s">
        <v>102</v>
      </c>
      <c r="B11" s="14" t="s">
        <v>101</v>
      </c>
      <c r="C11" s="8">
        <v>0.65</v>
      </c>
      <c r="D11" s="22">
        <v>1</v>
      </c>
      <c r="E11" s="15">
        <f>C11*D11</f>
      </c>
      <c r="F11">
        <f>IF(B11="Approved","Drawn","Forecast")</f>
      </c>
    </row>
    <row r="12" spans="1:6" x14ac:dyDescent="0.25">
      <c r="A12" t="s">
        <v>103</v>
      </c>
      <c r="B12" s="14" t="s">
        <v>104</v>
      </c>
      <c r="C12" s="8">
        <v>1.6</v>
      </c>
      <c r="D12" s="22">
        <v>0.5</v>
      </c>
      <c r="E12" s="15">
        <f>C12*D12</f>
      </c>
      <c r="F12">
        <f>IF(B12="Approved","Drawn","Forecast")</f>
      </c>
    </row>
    <row r="13" spans="1:6" x14ac:dyDescent="0.25">
      <c r="A13" t="s">
        <v>105</v>
      </c>
      <c r="B13" s="14" t="s">
        <v>104</v>
      </c>
      <c r="C13" s="8">
        <v>0.8</v>
      </c>
      <c r="D13" s="22">
        <v>0.5</v>
      </c>
      <c r="E13" s="15">
        <f>C13*D13</f>
      </c>
      <c r="F13">
        <f>IF(B13="Approved","Drawn","Forecast")</f>
      </c>
    </row>
    <row r="14" spans="1:6" x14ac:dyDescent="0.25">
      <c r="A14" t="s">
        <v>106</v>
      </c>
      <c r="B14" s="14" t="s">
        <v>107</v>
      </c>
      <c r="C14" s="8">
        <v>2</v>
      </c>
      <c r="D14" s="22">
        <v>0.4</v>
      </c>
      <c r="E14" s="15">
        <f>C14*D14</f>
      </c>
      <c r="F14">
        <f>IF(B14="Approved","Drawn","Forecast")</f>
      </c>
    </row>
    <row r="15" spans="1:6" x14ac:dyDescent="0.25">
      <c r="A15" t="s">
        <v>108</v>
      </c>
      <c r="B15" s="14"/>
      <c r="C15" s="14"/>
      <c r="D15" s="14"/>
      <c r="E15">
        <f>IF(C15="",0,C15*D15)</f>
      </c>
      <c r="F15">
        <f>IF(B15="Approved","Drawn",IF(B15="","","Forecast"))</f>
      </c>
    </row>
    <row r="16" spans="1:6" x14ac:dyDescent="0.25">
      <c r="A16" t="s">
        <v>108</v>
      </c>
      <c r="B16" s="14"/>
      <c r="C16" s="14"/>
      <c r="D16" s="14"/>
      <c r="E16">
        <f>IF(C16="",0,C16*D16)</f>
      </c>
      <c r="F16">
        <f>IF(B16="Approved","Drawn",IF(B16="","","Forecast"))</f>
      </c>
    </row>
    <row r="17" spans="1:6" x14ac:dyDescent="0.25">
      <c r="A17" t="s">
        <v>108</v>
      </c>
      <c r="B17" s="14"/>
      <c r="C17" s="14"/>
      <c r="D17" s="14"/>
      <c r="E17">
        <f>IF(C17="",0,C17*D17)</f>
      </c>
      <c r="F17">
        <f>IF(B17="Approved","Drawn",IF(B17="","","Forecast"))</f>
      </c>
    </row>
    <row r="19" ht="32" customHeight="1" spans="1:4" x14ac:dyDescent="0.25">
      <c r="A19" s="7" t="s">
        <v>109</v>
      </c>
      <c r="B19" s="7" t="s">
        <v>19</v>
      </c>
      <c r="C19" s="7" t="s">
        <v>20</v>
      </c>
      <c r="D19" s="7" t="s">
        <v>110</v>
      </c>
    </row>
    <row r="20" spans="1:4" x14ac:dyDescent="0.25">
      <c r="A20" t="s">
        <v>111</v>
      </c>
      <c r="B20" s="17">
        <f>'Inputs'!$B$5+'Contingency'!$B$5+'Contingency'!$B$6</f>
      </c>
      <c r="C20" t="s">
        <v>23</v>
      </c>
      <c r="D20" s="9" t="s">
        <v>24</v>
      </c>
    </row>
    <row r="21" spans="1:4" x14ac:dyDescent="0.25">
      <c r="A21" t="s">
        <v>112</v>
      </c>
      <c r="B21" s="17">
        <f>SUMIF(B10:B17,"Approved",C10:C17)</f>
      </c>
      <c r="C21" t="s">
        <v>23</v>
      </c>
      <c r="D21" s="9" t="s">
        <v>24</v>
      </c>
    </row>
    <row r="22" spans="1:4" x14ac:dyDescent="0.25">
      <c r="A22" t="s">
        <v>113</v>
      </c>
      <c r="B22" s="17">
        <f>'Inputs'!$B$5+B21</f>
      </c>
      <c r="C22" t="s">
        <v>23</v>
      </c>
      <c r="D22" s="9" t="s">
        <v>24</v>
      </c>
    </row>
    <row r="23" spans="1:4" x14ac:dyDescent="0.25">
      <c r="A23" t="s">
        <v>114</v>
      </c>
      <c r="B23" s="17">
        <f>'Contingency'!$B$5-B21</f>
      </c>
      <c r="C23" t="s">
        <v>23</v>
      </c>
      <c r="D23" s="9" t="s">
        <v>24</v>
      </c>
    </row>
    <row r="24" spans="1:4" x14ac:dyDescent="0.25">
      <c r="A24" t="s">
        <v>115</v>
      </c>
      <c r="B24" s="17">
        <f>SUMPRODUCT((B10:B17&lt;&gt;"Approved")*(B10:B17&lt;&gt;"")*E10:E17)</f>
      </c>
      <c r="C24" t="s">
        <v>23</v>
      </c>
      <c r="D24" s="9" t="s">
        <v>24</v>
      </c>
    </row>
    <row r="25" spans="1:4" x14ac:dyDescent="0.25">
      <c r="A25" t="s">
        <v>116</v>
      </c>
      <c r="B25" s="17">
        <f>B23-B24</f>
      </c>
      <c r="C25" t="s">
        <v>23</v>
      </c>
      <c r="D25" s="9" t="s">
        <v>117</v>
      </c>
    </row>
    <row r="26" spans="1:4" x14ac:dyDescent="0.25">
      <c r="A26" t="s">
        <v>118</v>
      </c>
      <c r="B26" s="17">
        <f>B22+B24+'Contingency'!$B$6</f>
      </c>
      <c r="C26" t="s">
        <v>23</v>
      </c>
      <c r="D26" s="9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Inputs</vt:lpstr>
      <vt:lpstr>Milestones</vt:lpstr>
      <vt:lpstr>Monthly</vt:lpstr>
      <vt:lpstr>FY Budget</vt:lpstr>
      <vt:lpstr>Contingency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MEWRE PM Learning Platform (Module 10)</dc:creator>
  <dc:title>Construction cash-flow forecast</dc:title>
  <dc:subject/>
  <dc:description/>
  <cp:keywords/>
  <cp:category/>
  <cp:lastModifiedBy>Unknown</cp:lastModifiedBy>
  <dcterms:created xsi:type="dcterms:W3CDTF">2026-10-19T00:00:00Z</dcterms:created>
  <dcterms:modified xsi:type="dcterms:W3CDTF">2026-10-19T10:53:52Z</dcterms:modified>
</cp:coreProperties>
</file>