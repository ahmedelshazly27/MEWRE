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puts" state="visible" r:id="rId5"/>
    <sheet sheetId="3" name="CashFlow" state="visible" r:id="rId6"/>
    <sheet sheetId="4" name="Summary" state="visible" r:id="rId7"/>
  </sheets>
  <calcPr calcId="171027" fullCalcOnLoad="1"/>
</workbook>
</file>

<file path=xl/sharedStrings.xml><?xml version="1.0" encoding="utf-8"?>
<sst xmlns="http://schemas.openxmlformats.org/spreadsheetml/2006/main" count="182" uniqueCount="116">
  <si>
    <t>Project finance model — 1,100 MW PV IPP (Module 10, Lesson 4)</t>
  </si>
  <si>
    <t>Yellow cells with blue bold text = INPUTS you may change.</t>
  </si>
  <si>
    <t>Green cells = key RESULTS (formulas — do not overwrite).</t>
  </si>
  <si>
    <t>WHAT THIS MODEL DOES</t>
  </si>
  <si>
    <t>A simplified annual lenders'-style model of a solar IPP special purpose vehicle (SPV) selling all output to MEWRE under a 30-year PPA. It builds CFADS (cash flow available for debt service), sizes senior debt by DSCR sculpting subject to a gearing cap, and reports DSCR, LLCR, PLCR, project IRR, equity IRR, NPVs and payback.</t>
  </si>
  <si>
    <t>Sheets: Inputs -&gt; CashFlow (years 0..40) -&gt; Summary.</t>
  </si>
  <si>
    <t>Debt sizing logic: target debt service in each loan year = CFADS / target DSCR. The sculpted debt capacity is the present value of that target debt service at the debt interest rate. Debt = MIN(sculpted capacity, max gearing x capex). If the gearing cap binds, actual debt service is scaled down proportionally, so the achieved DSCR is above target.</t>
  </si>
  <si>
    <t>Simplifications (state them when you present results): no corporate tax, no working capital, no construction-period monthly model (capex incl. IDC is a single year-0 amount), no DSRA cash trapping (the DSRA target is shown for information), no lock-up/cash sweep, P50 energy only. A real lenders' model is monthly/semi-annual and audited by a model auditor.</t>
  </si>
  <si>
    <t>EXERCISES (see Lesson m10-l07)</t>
  </si>
  <si>
    <t>1. Base case at 1.80 US cents/kWh: confirm debt USD 448.0 m (gearing cap binding), min DSCR 1.287x, project IRR 6.45%, equity IRR 8.97%.</t>
  </si>
  <si>
    <t>2. Raise max gearing to 90%. Which constraint binds now? What happens to equity IRR and why?</t>
  </si>
  <si>
    <t>3. Set tariff to 1.44 US cents/kWh (an 'aggressive' bid 20% below 1.80). Record equity IRR. What capex would the bidder need for a 9% equity IRR (Goal Seek)?</t>
  </si>
  <si>
    <t>4. Run a P90 case: reduce specific yield by 7% but keep the debt sized on P50 (copy the debt amount as a value into a new input). What is the minimum DSCR? Would a 1.10x lock-up covenant trip?</t>
  </si>
  <si>
    <t>5. Add a 0.5%/yr tariff indexation (Inputs). Record equity IRR (about 11.2%) and minimum DSCR (about 1.36x). Why does indexation raise both while the gearing cap still binds? What would the offtaker pay for it in levelized terms (use tariff-bid-evaluation.xlsx)?</t>
  </si>
  <si>
    <t>DISCLAIMER</t>
  </si>
  <si>
    <t>All numbers are ILLUSTRATIVE teaching values for a generic 1,100 MW PV IPP in Kuwait-like conditions. They are NOT the tariff, capex or terms of any real Shagaya / KAPP project (the Zone 1 tariff has not been published). Replace them with project data before using the model for any decision.</t>
  </si>
  <si>
    <t>Currency convention: USD for IPP economics, KWD for ministry budgets; assumed 1 KWD = 3.25 USD (change in Inputs where shown).</t>
  </si>
  <si>
    <t>Inputs — project finance model</t>
  </si>
  <si>
    <t>Illustrative base case; change only yellow cells.</t>
  </si>
  <si>
    <t>Input</t>
  </si>
  <si>
    <t>Value</t>
  </si>
  <si>
    <t>Unit</t>
  </si>
  <si>
    <t>Note / typical range</t>
  </si>
  <si>
    <t>Plant AC capacity</t>
  </si>
  <si>
    <t>MWac</t>
  </si>
  <si>
    <t/>
  </si>
  <si>
    <t>Plant DC capacity</t>
  </si>
  <si>
    <t>MWp</t>
  </si>
  <si>
    <t>Specific yield, year 1 (P50)</t>
  </si>
  <si>
    <t>kWh/kWp/yr</t>
  </si>
  <si>
    <t>Degradation (from year 2)</t>
  </si>
  <si>
    <t>%/yr</t>
  </si>
  <si>
    <t>PPA tariff, year 1</t>
  </si>
  <si>
    <t>US cents/kWh</t>
  </si>
  <si>
    <t>Illustrative — NOT a real Kuwait tariff</t>
  </si>
  <si>
    <t>Tariff indexation</t>
  </si>
  <si>
    <t>Gulf solar PPAs are often flat in USD terms</t>
  </si>
  <si>
    <t>Total capex at COD (incl. IDC, fees, DSRA excl.)</t>
  </si>
  <si>
    <t>USD m</t>
  </si>
  <si>
    <t>Opex, year 1</t>
  </si>
  <si>
    <t>USD m/yr</t>
  </si>
  <si>
    <t>Opex escalation</t>
  </si>
  <si>
    <t>PPA term / model life</t>
  </si>
  <si>
    <t>years</t>
  </si>
  <si>
    <t>Kuwait solar IPPs: 30-year PPA (pv magazine, 2025-06-16)</t>
  </si>
  <si>
    <t>All-in senior debt interest rate</t>
  </si>
  <si>
    <t>Base rate + swap + margin</t>
  </si>
  <si>
    <t>Debt tenor after COD</t>
  </si>
  <si>
    <t>Must leave a tail: tenor &lt; PPA term</t>
  </si>
  <si>
    <t>Target (sizing) DSCR on P50</t>
  </si>
  <si>
    <t>x</t>
  </si>
  <si>
    <t>Contracted solar with strong offtaker: ~1.20–1.35x</t>
  </si>
  <si>
    <t>Maximum gearing (debt / capex)</t>
  </si>
  <si>
    <t>%</t>
  </si>
  <si>
    <t>Typical 70–85% for Gulf solar IPPs</t>
  </si>
  <si>
    <t>Cost of equity (sponsor hurdle)</t>
  </si>
  <si>
    <t>Discount rate for project NPV (WACC)</t>
  </si>
  <si>
    <t>= 20% x 9% + 80% x 5.5% (no tax)</t>
  </si>
  <si>
    <t>DSRA requirement</t>
  </si>
  <si>
    <t>months of DS</t>
  </si>
  <si>
    <t>Derived</t>
  </si>
  <si>
    <t>How it is calculated</t>
  </si>
  <si>
    <t>Energy year 1</t>
  </si>
  <si>
    <t>GWh</t>
  </si>
  <si>
    <t>Capacity factor (AC)</t>
  </si>
  <si>
    <t>Annual cash flow (USD m) — formulas only</t>
  </si>
  <si>
    <t>Year 0 = COD (capex spent, debt drawn, equity injected).</t>
  </si>
  <si>
    <t>Year</t>
  </si>
  <si>
    <t>Op flag</t>
  </si>
  <si>
    <t>Loan flag</t>
  </si>
  <si>
    <t>Energy (GWh)</t>
  </si>
  <si>
    <t>Tariff (USc/kWh)</t>
  </si>
  <si>
    <t>Revenue</t>
  </si>
  <si>
    <t>Opex</t>
  </si>
  <si>
    <t>CFADS</t>
  </si>
  <si>
    <t>Target DS (CFADS/DSCR)</t>
  </si>
  <si>
    <t>Debt DF</t>
  </si>
  <si>
    <t>PV target DS</t>
  </si>
  <si>
    <t>Opening debt</t>
  </si>
  <si>
    <t>Interest</t>
  </si>
  <si>
    <t>Debt service</t>
  </si>
  <si>
    <t>Principal</t>
  </si>
  <si>
    <t>Closing debt</t>
  </si>
  <si>
    <t>DSCR (x)</t>
  </si>
  <si>
    <t>DSRA target</t>
  </si>
  <si>
    <t>Project CF</t>
  </si>
  <si>
    <t>Equity CF</t>
  </si>
  <si>
    <t>Cum. project CF</t>
  </si>
  <si>
    <t>Payback helper</t>
  </si>
  <si>
    <t>Total</t>
  </si>
  <si>
    <t>Summary — debt sizing, cover ratios and returns</t>
  </si>
  <si>
    <t>Debt sizing</t>
  </si>
  <si>
    <t>Sculpted debt capacity = PV(CFADS/DSCR) at debt rate</t>
  </si>
  <si>
    <t>Senior debt = MIN(sculpted, gearing cap)</t>
  </si>
  <si>
    <t>Gearing-cap debt = max gearing x capex</t>
  </si>
  <si>
    <t>Debt-service scale factor = debt / sculpted</t>
  </si>
  <si>
    <t>–</t>
  </si>
  <si>
    <t>Binding constraint</t>
  </si>
  <si>
    <t>Achieved gearing</t>
  </si>
  <si>
    <t>Equity at COD</t>
  </si>
  <si>
    <t>Check: debt repaid (sum of principal - debt)</t>
  </si>
  <si>
    <t>Must be 0.000</t>
  </si>
  <si>
    <t>Cover ratios</t>
  </si>
  <si>
    <t>Minimum DSCR</t>
  </si>
  <si>
    <t>Average DSCR</t>
  </si>
  <si>
    <t>LLCR at COD = PV(CFADS over loan life)/debt</t>
  </si>
  <si>
    <t>PLCR at COD = PV(CFADS over project life)/debt</t>
  </si>
  <si>
    <t>DSRA target at COD (funded by equity/LC)</t>
  </si>
  <si>
    <t>Returns</t>
  </si>
  <si>
    <t>Project IRR (unlevered, pre-tax)</t>
  </si>
  <si>
    <t>Equity IRR</t>
  </si>
  <si>
    <t>Project NPV at WACC</t>
  </si>
  <si>
    <t>Equity NPV at cost of equity</t>
  </si>
  <si>
    <t>Simple payback (project)</t>
  </si>
  <si>
    <t>Revenue year 1</t>
  </si>
  <si>
    <t>CFADS year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</si>
</sst>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"/>
    <numFmt numFmtId="166" formatCode="0.0%"/>
    <numFmt numFmtId="167" formatCode="0.0000"/>
  </numFmts>
  <fonts count="9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1F3864"/>
    </font>
    <font>
      <b/>
      <color rgb="FF1F3864"/>
      <sz val="14"/>
    </font>
    <font>
      <i/>
      <color rgb="FF595959"/>
    </font>
    <font>
      <b/>
      <color rgb="FFFFFFFF"/>
    </font>
    <font>
      <b/>
      <color rgb="FF0000CC"/>
    </font>
    <font>
      <color rgb="FF59595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/>
    <xf numFmtId="0" fontId="7" fillId="0" borderId="0" xfId="0" applyFont="1"/>
    <xf numFmtId="10" fontId="6" fillId="2" borderId="1" xfId="0" applyNumberFormat="1" applyFont="1" applyFill="1" applyBorder="1"/>
    <xf numFmtId="164" fontId="6" fillId="2" borderId="1" xfId="0" applyNumberFormat="1" applyFont="1" applyFill="1" applyBorder="1"/>
    <xf numFmtId="165" fontId="6" fillId="2" borderId="1" xfId="0" applyNumberFormat="1" applyFont="1" applyFill="1" applyBorder="1"/>
    <xf numFmtId="4" fontId="6" fillId="2" borderId="1" xfId="0" applyNumberFormat="1" applyFont="1" applyFill="1" applyBorder="1"/>
    <xf numFmtId="1" fontId="6" fillId="2" borderId="1" xfId="0" applyNumberFormat="1" applyFont="1" applyFill="1" applyBorder="1"/>
    <xf numFmtId="2" fontId="6" fillId="2" borderId="1" xfId="0" applyNumberFormat="1" applyFont="1" applyFill="1" applyBorder="1"/>
    <xf numFmtId="166" fontId="6" fillId="2" borderId="1" xfId="0" applyNumberFormat="1" applyFont="1" applyFill="1" applyBorder="1"/>
    <xf numFmtId="165" fontId="8" fillId="3" borderId="1" xfId="0" applyNumberFormat="1" applyFont="1" applyFill="1" applyBorder="1"/>
    <xf numFmtId="166" fontId="8" fillId="3" borderId="1" xfId="0" applyNumberFormat="1" applyFont="1" applyFill="1" applyBorder="1"/>
    <xf numFmtId="1" fontId="0" fillId="0" borderId="0" xfId="0" applyNumberFormat="1"/>
    <xf numFmtId="165" fontId="0" fillId="0" borderId="0" xfId="0" applyNumberFormat="1"/>
    <xf numFmtId="167" fontId="0" fillId="0" borderId="0" xfId="0" applyNumberFormat="1"/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67" fontId="8" fillId="3" borderId="1" xfId="0" applyNumberFormat="1" applyFont="1" applyFill="1" applyBorder="1"/>
    <xf numFmtId="49" fontId="8" fillId="3" borderId="1" xfId="0" applyNumberFormat="1" applyFont="1" applyFill="1" applyBorder="1"/>
    <xf numFmtId="164" fontId="8" fillId="3" borderId="1" xfId="0" applyNumberFormat="1" applyFont="1" applyFill="1" applyBorder="1"/>
    <xf numFmtId="10" fontId="8" fillId="3" borderId="1" xfId="0" applyNumberFormat="1" applyFont="1" applyFill="1" applyBorder="1"/>
    <xf numFmtId="2" fontId="8" fillId="3" borderId="1" xfId="0" applyNumberFormat="1" applyFont="1" applyFill="1" applyBorder="1"/>
    <xf numFmtId="4" fontId="8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A19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6" spans="1:1" x14ac:dyDescent="0.25">
      <c r="A6" s="4" t="s">
        <v>3</v>
      </c>
    </row>
    <row r="7" spans="1:1" x14ac:dyDescent="0.25">
      <c r="A7" s="5" t="s">
        <v>4</v>
      </c>
    </row>
    <row r="8" spans="1:1" x14ac:dyDescent="0.25">
      <c r="A8" s="5" t="s">
        <v>5</v>
      </c>
    </row>
    <row r="9" spans="1:1" x14ac:dyDescent="0.25">
      <c r="A9" s="5" t="s">
        <v>6</v>
      </c>
    </row>
    <row r="10" spans="1:1" x14ac:dyDescent="0.25">
      <c r="A10" s="5" t="s">
        <v>7</v>
      </c>
    </row>
    <row r="11" spans="1:1" x14ac:dyDescent="0.25">
      <c r="A11" s="4" t="s">
        <v>8</v>
      </c>
    </row>
    <row r="12" spans="1:1" x14ac:dyDescent="0.25">
      <c r="A12" s="5" t="s">
        <v>9</v>
      </c>
    </row>
    <row r="13" spans="1:1" x14ac:dyDescent="0.25">
      <c r="A13" s="5" t="s">
        <v>10</v>
      </c>
    </row>
    <row r="14" spans="1:1" x14ac:dyDescent="0.25">
      <c r="A14" s="5" t="s">
        <v>11</v>
      </c>
    </row>
    <row r="15" spans="1:1" x14ac:dyDescent="0.25">
      <c r="A15" s="5" t="s">
        <v>12</v>
      </c>
    </row>
    <row r="16" spans="1:1" x14ac:dyDescent="0.25">
      <c r="A16" s="5" t="s">
        <v>13</v>
      </c>
    </row>
    <row r="17" spans="1:1" x14ac:dyDescent="0.25">
      <c r="A17" s="4" t="s">
        <v>14</v>
      </c>
    </row>
    <row r="18" spans="1:1" x14ac:dyDescent="0.25">
      <c r="A18" s="5" t="s">
        <v>15</v>
      </c>
    </row>
    <row r="19" spans="1:1" x14ac:dyDescent="0.25">
      <c r="A19" s="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44" customWidth="1"/>
    <col min="2" max="2" width="14" customWidth="1"/>
    <col min="3" max="3" width="16" customWidth="1"/>
    <col min="4" max="4" width="62" customWidth="1"/>
  </cols>
  <sheetData>
    <row r="1" spans="1:1" x14ac:dyDescent="0.25">
      <c r="A1" s="6" t="s">
        <v>17</v>
      </c>
    </row>
    <row r="2" spans="1:1" x14ac:dyDescent="0.25">
      <c r="A2" s="7" t="s">
        <v>18</v>
      </c>
    </row>
    <row r="4" ht="32" customHeight="1" spans="1:4" x14ac:dyDescent="0.25">
      <c r="A4" s="8" t="s">
        <v>19</v>
      </c>
      <c r="B4" s="8" t="s">
        <v>20</v>
      </c>
      <c r="C4" s="8" t="s">
        <v>21</v>
      </c>
      <c r="D4" s="8" t="s">
        <v>22</v>
      </c>
    </row>
    <row r="5" spans="1:4" x14ac:dyDescent="0.25">
      <c r="A5" t="s">
        <v>23</v>
      </c>
      <c r="B5" s="9">
        <v>1100</v>
      </c>
      <c r="C5" t="s">
        <v>24</v>
      </c>
      <c r="D5" s="10" t="s">
        <v>25</v>
      </c>
    </row>
    <row r="6" spans="1:4" x14ac:dyDescent="0.25">
      <c r="A6" t="s">
        <v>26</v>
      </c>
      <c r="B6" s="9">
        <v>1430</v>
      </c>
      <c r="C6" t="s">
        <v>27</v>
      </c>
      <c r="D6" s="10" t="s">
        <v>25</v>
      </c>
    </row>
    <row r="7" spans="1:4" x14ac:dyDescent="0.25">
      <c r="A7" t="s">
        <v>28</v>
      </c>
      <c r="B7" s="9">
        <v>2100</v>
      </c>
      <c r="C7" t="s">
        <v>29</v>
      </c>
      <c r="D7" s="10" t="s">
        <v>25</v>
      </c>
    </row>
    <row r="8" spans="1:4" x14ac:dyDescent="0.25">
      <c r="A8" t="s">
        <v>30</v>
      </c>
      <c r="B8" s="11">
        <v>0.004</v>
      </c>
      <c r="C8" t="s">
        <v>31</v>
      </c>
      <c r="D8" s="10" t="s">
        <v>25</v>
      </c>
    </row>
    <row r="9" spans="1:4" x14ac:dyDescent="0.25">
      <c r="A9" t="s">
        <v>32</v>
      </c>
      <c r="B9" s="12">
        <v>1.8</v>
      </c>
      <c r="C9" t="s">
        <v>33</v>
      </c>
      <c r="D9" s="10" t="s">
        <v>34</v>
      </c>
    </row>
    <row r="10" spans="1:4" x14ac:dyDescent="0.25">
      <c r="A10" t="s">
        <v>35</v>
      </c>
      <c r="B10" s="11">
        <v>0</v>
      </c>
      <c r="C10" t="s">
        <v>31</v>
      </c>
      <c r="D10" s="10" t="s">
        <v>36</v>
      </c>
    </row>
    <row r="11" spans="1:4" x14ac:dyDescent="0.25">
      <c r="A11" t="s">
        <v>37</v>
      </c>
      <c r="B11" s="13">
        <v>560</v>
      </c>
      <c r="C11" t="s">
        <v>38</v>
      </c>
      <c r="D11" s="10" t="s">
        <v>25</v>
      </c>
    </row>
    <row r="12" spans="1:4" x14ac:dyDescent="0.25">
      <c r="A12" t="s">
        <v>39</v>
      </c>
      <c r="B12" s="14">
        <v>7.5</v>
      </c>
      <c r="C12" t="s">
        <v>40</v>
      </c>
      <c r="D12" s="10" t="s">
        <v>25</v>
      </c>
    </row>
    <row r="13" spans="1:4" x14ac:dyDescent="0.25">
      <c r="A13" t="s">
        <v>41</v>
      </c>
      <c r="B13" s="11">
        <v>0.02</v>
      </c>
      <c r="C13" t="s">
        <v>31</v>
      </c>
      <c r="D13" s="10" t="s">
        <v>25</v>
      </c>
    </row>
    <row r="14" spans="1:4" x14ac:dyDescent="0.25">
      <c r="A14" t="s">
        <v>42</v>
      </c>
      <c r="B14" s="15">
        <v>30</v>
      </c>
      <c r="C14" t="s">
        <v>43</v>
      </c>
      <c r="D14" s="10" t="s">
        <v>44</v>
      </c>
    </row>
    <row r="15" spans="1:4" x14ac:dyDescent="0.25">
      <c r="A15" t="s">
        <v>45</v>
      </c>
      <c r="B15" s="11">
        <v>0.055</v>
      </c>
      <c r="C15" t="s">
        <v>31</v>
      </c>
      <c r="D15" s="10" t="s">
        <v>46</v>
      </c>
    </row>
    <row r="16" spans="1:4" x14ac:dyDescent="0.25">
      <c r="A16" t="s">
        <v>47</v>
      </c>
      <c r="B16" s="15">
        <v>25</v>
      </c>
      <c r="C16" t="s">
        <v>43</v>
      </c>
      <c r="D16" s="10" t="s">
        <v>48</v>
      </c>
    </row>
    <row r="17" spans="1:4" x14ac:dyDescent="0.25">
      <c r="A17" t="s">
        <v>49</v>
      </c>
      <c r="B17" s="16">
        <v>1.25</v>
      </c>
      <c r="C17" t="s">
        <v>50</v>
      </c>
      <c r="D17" s="10" t="s">
        <v>51</v>
      </c>
    </row>
    <row r="18" spans="1:4" x14ac:dyDescent="0.25">
      <c r="A18" t="s">
        <v>52</v>
      </c>
      <c r="B18" s="17">
        <v>0.8</v>
      </c>
      <c r="C18" t="s">
        <v>53</v>
      </c>
      <c r="D18" s="10" t="s">
        <v>54</v>
      </c>
    </row>
    <row r="19" spans="1:4" x14ac:dyDescent="0.25">
      <c r="A19" t="s">
        <v>55</v>
      </c>
      <c r="B19" s="11">
        <v>0.09</v>
      </c>
      <c r="C19" t="s">
        <v>31</v>
      </c>
      <c r="D19" s="10" t="s">
        <v>25</v>
      </c>
    </row>
    <row r="20" spans="1:4" x14ac:dyDescent="0.25">
      <c r="A20" t="s">
        <v>56</v>
      </c>
      <c r="B20" s="11">
        <v>0.062</v>
      </c>
      <c r="C20" t="s">
        <v>31</v>
      </c>
      <c r="D20" s="10" t="s">
        <v>57</v>
      </c>
    </row>
    <row r="21" spans="1:4" x14ac:dyDescent="0.25">
      <c r="A21" t="s">
        <v>58</v>
      </c>
      <c r="B21" s="15">
        <v>6</v>
      </c>
      <c r="C21" t="s">
        <v>59</v>
      </c>
      <c r="D21" s="10" t="s">
        <v>25</v>
      </c>
    </row>
    <row r="24" ht="32" customHeight="1" spans="1:4" x14ac:dyDescent="0.25">
      <c r="A24" s="8" t="s">
        <v>60</v>
      </c>
      <c r="B24" s="8" t="s">
        <v>20</v>
      </c>
      <c r="C24" s="8" t="s">
        <v>21</v>
      </c>
      <c r="D24" s="8" t="s">
        <v>61</v>
      </c>
    </row>
    <row r="25" spans="1:4" x14ac:dyDescent="0.25">
      <c r="A25" t="s">
        <v>62</v>
      </c>
      <c r="B25" s="18">
        <f>'Inputs'!$B$6*'Inputs'!$B$7/1000</f>
      </c>
      <c r="C25" t="s">
        <v>63</v>
      </c>
      <c r="D25" s="10" t="s">
        <v>25</v>
      </c>
    </row>
    <row r="26" spans="1:4" x14ac:dyDescent="0.25">
      <c r="A26" t="s">
        <v>64</v>
      </c>
      <c r="B26" s="19">
        <f>('Inputs'!$B$6*'Inputs'!$B$7/1000)/('Inputs'!$B$5*8.76)</f>
      </c>
      <c r="C26" t="s">
        <v>53</v>
      </c>
      <c r="D26" s="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2" width="12" customWidth="1"/>
  </cols>
  <sheetData>
    <row r="1" spans="1:1" x14ac:dyDescent="0.25">
      <c r="A1" s="6" t="s">
        <v>65</v>
      </c>
    </row>
    <row r="2" spans="1:1" x14ac:dyDescent="0.25">
      <c r="A2" s="7" t="s">
        <v>66</v>
      </c>
    </row>
    <row r="4" ht="32" customHeight="1" spans="1:22" x14ac:dyDescent="0.25">
      <c r="A4" s="8" t="s">
        <v>67</v>
      </c>
      <c r="B4" s="8" t="s">
        <v>68</v>
      </c>
      <c r="C4" s="8" t="s">
        <v>69</v>
      </c>
      <c r="D4" s="8" t="s">
        <v>70</v>
      </c>
      <c r="E4" s="8" t="s">
        <v>71</v>
      </c>
      <c r="F4" s="8" t="s">
        <v>72</v>
      </c>
      <c r="G4" s="8" t="s">
        <v>73</v>
      </c>
      <c r="H4" s="8" t="s">
        <v>74</v>
      </c>
      <c r="I4" s="8" t="s">
        <v>75</v>
      </c>
      <c r="J4" s="8" t="s">
        <v>76</v>
      </c>
      <c r="K4" s="8" t="s">
        <v>77</v>
      </c>
      <c r="L4" s="8" t="s">
        <v>78</v>
      </c>
      <c r="M4" s="8" t="s">
        <v>79</v>
      </c>
      <c r="N4" s="8" t="s">
        <v>80</v>
      </c>
      <c r="O4" s="8" t="s">
        <v>81</v>
      </c>
      <c r="P4" s="8" t="s">
        <v>82</v>
      </c>
      <c r="Q4" s="8" t="s">
        <v>83</v>
      </c>
      <c r="R4" s="8" t="s">
        <v>84</v>
      </c>
      <c r="S4" s="8" t="s">
        <v>85</v>
      </c>
      <c r="T4" s="8" t="s">
        <v>86</v>
      </c>
      <c r="U4" s="8" t="s">
        <v>87</v>
      </c>
      <c r="V4" s="8" t="s">
        <v>88</v>
      </c>
    </row>
    <row r="5" spans="1:22" x14ac:dyDescent="0.25">
      <c r="A5">
        <v>0</v>
      </c>
      <c r="B5" s="20">
        <f>IF(AND(A5&gt;=1,A5&lt;='Inputs'!$B$14),1,0)</f>
      </c>
      <c r="C5" s="20">
        <f>IF(AND(A5&gt;=1,A5&lt;='Inputs'!$B$16),1,0)</f>
      </c>
      <c r="D5" s="21">
        <f>B5*'Inputs'!$B$25*(1-'Inputs'!$B$8)^(A5-1)</f>
      </c>
      <c r="E5" s="22">
        <f>B5*'Inputs'!$B$9*(1+'Inputs'!$B$10)^(A5-1)</f>
      </c>
      <c r="F5" s="23">
        <f>D5*E5/100</f>
      </c>
      <c r="G5" s="23">
        <f>B5*'Inputs'!$B$12*(1+'Inputs'!$B$13)^(A5-1)</f>
      </c>
      <c r="H5" s="23">
        <f>F5-G5</f>
      </c>
      <c r="I5" s="23">
        <f>C5*H5/'Inputs'!$B$17</f>
      </c>
      <c r="J5" s="22">
        <f>1/(1+'Inputs'!$B$15)^A5</f>
      </c>
      <c r="K5" s="23">
        <f>I5*J5</f>
      </c>
      <c r="L5" s="23">
        <f>0</f>
      </c>
      <c r="M5" s="23">
        <f>C5*L5*'Inputs'!$B$15</f>
      </c>
      <c r="N5" s="23">
        <f>I5*Summary!$B$8</f>
      </c>
      <c r="O5" s="23">
        <f>N5-M5</f>
      </c>
      <c r="P5" s="23">
        <f>Summary!$B$6</f>
      </c>
      <c r="Q5" s="24">
        <f>IF(N5&gt;0,H5/N5,"")</f>
      </c>
      <c r="R5" s="23">
        <f>N6*'Inputs'!$B$21/12</f>
      </c>
      <c r="S5" s="23">
        <f>-'Inputs'!$B$11</f>
      </c>
      <c r="T5" s="23">
        <f>-('Inputs'!$B$11-Summary!$B$6)</f>
      </c>
      <c r="U5" s="23">
        <f>S5</f>
      </c>
      <c r="V5" s="25">
        <f>0</f>
      </c>
    </row>
    <row r="6" spans="1:22" x14ac:dyDescent="0.25">
      <c r="A6">
        <v>1</v>
      </c>
      <c r="B6" s="20">
        <f>IF(AND(A6&gt;=1,A6&lt;='Inputs'!$B$14),1,0)</f>
      </c>
      <c r="C6" s="20">
        <f>IF(AND(A6&gt;=1,A6&lt;='Inputs'!$B$16),1,0)</f>
      </c>
      <c r="D6" s="21">
        <f>B6*'Inputs'!$B$25*(1-'Inputs'!$B$8)^(A6-1)</f>
      </c>
      <c r="E6" s="22">
        <f>B6*'Inputs'!$B$9*(1+'Inputs'!$B$10)^(A6-1)</f>
      </c>
      <c r="F6" s="23">
        <f>D6*E6/100</f>
      </c>
      <c r="G6" s="23">
        <f>B6*'Inputs'!$B$12*(1+'Inputs'!$B$13)^(A6-1)</f>
      </c>
      <c r="H6" s="23">
        <f>F6-G6</f>
      </c>
      <c r="I6" s="23">
        <f>C6*H6/'Inputs'!$B$17</f>
      </c>
      <c r="J6" s="22">
        <f>1/(1+'Inputs'!$B$15)^A6</f>
      </c>
      <c r="K6" s="23">
        <f>I6*J6</f>
      </c>
      <c r="L6" s="23">
        <f>Summary!$B$6</f>
      </c>
      <c r="M6" s="23">
        <f>C6*L6*'Inputs'!$B$15</f>
      </c>
      <c r="N6" s="23">
        <f>I6*Summary!$B$8</f>
      </c>
      <c r="O6" s="23">
        <f>N6-M6</f>
      </c>
      <c r="P6" s="23">
        <f>L6-O6</f>
      </c>
      <c r="Q6" s="24">
        <f>IF(N6&gt;0,H6/N6,"")</f>
      </c>
      <c r="R6" s="23">
        <f>N7*'Inputs'!$B$21/12</f>
      </c>
      <c r="S6" s="23">
        <f>H6</f>
      </c>
      <c r="T6" s="23">
        <f>H6-N6</f>
      </c>
      <c r="U6" s="23">
        <f>U5+S6</f>
      </c>
      <c r="V6" s="25">
        <f>IF(AND(U5&lt;0,U6&gt;=0),A5-U5/S6,0)</f>
      </c>
    </row>
    <row r="7" spans="1:22" x14ac:dyDescent="0.25">
      <c r="A7">
        <v>2</v>
      </c>
      <c r="B7" s="20">
        <f>IF(AND(A7&gt;=1,A7&lt;='Inputs'!$B$14),1,0)</f>
      </c>
      <c r="C7" s="20">
        <f>IF(AND(A7&gt;=1,A7&lt;='Inputs'!$B$16),1,0)</f>
      </c>
      <c r="D7" s="21">
        <f>B7*'Inputs'!$B$25*(1-'Inputs'!$B$8)^(A7-1)</f>
      </c>
      <c r="E7" s="22">
        <f>B7*'Inputs'!$B$9*(1+'Inputs'!$B$10)^(A7-1)</f>
      </c>
      <c r="F7" s="23">
        <f>D7*E7/100</f>
      </c>
      <c r="G7" s="23">
        <f>B7*'Inputs'!$B$12*(1+'Inputs'!$B$13)^(A7-1)</f>
      </c>
      <c r="H7" s="23">
        <f>F7-G7</f>
      </c>
      <c r="I7" s="23">
        <f>C7*H7/'Inputs'!$B$17</f>
      </c>
      <c r="J7" s="22">
        <f>1/(1+'Inputs'!$B$15)^A7</f>
      </c>
      <c r="K7" s="23">
        <f>I7*J7</f>
      </c>
      <c r="L7" s="23">
        <f>P6</f>
      </c>
      <c r="M7" s="23">
        <f>C7*L7*'Inputs'!$B$15</f>
      </c>
      <c r="N7" s="23">
        <f>I7*Summary!$B$8</f>
      </c>
      <c r="O7" s="23">
        <f>N7-M7</f>
      </c>
      <c r="P7" s="23">
        <f>L7-O7</f>
      </c>
      <c r="Q7" s="24">
        <f>IF(N7&gt;0,H7/N7,"")</f>
      </c>
      <c r="R7" s="23">
        <f>N8*'Inputs'!$B$21/12</f>
      </c>
      <c r="S7" s="23">
        <f>H7</f>
      </c>
      <c r="T7" s="23">
        <f>H7-N7</f>
      </c>
      <c r="U7" s="23">
        <f>U6+S7</f>
      </c>
      <c r="V7" s="25">
        <f>IF(AND(U6&lt;0,U7&gt;=0),A6-U6/S7,0)</f>
      </c>
    </row>
    <row r="8" spans="1:22" x14ac:dyDescent="0.25">
      <c r="A8">
        <v>3</v>
      </c>
      <c r="B8" s="20">
        <f>IF(AND(A8&gt;=1,A8&lt;='Inputs'!$B$14),1,0)</f>
      </c>
      <c r="C8" s="20">
        <f>IF(AND(A8&gt;=1,A8&lt;='Inputs'!$B$16),1,0)</f>
      </c>
      <c r="D8" s="21">
        <f>B8*'Inputs'!$B$25*(1-'Inputs'!$B$8)^(A8-1)</f>
      </c>
      <c r="E8" s="22">
        <f>B8*'Inputs'!$B$9*(1+'Inputs'!$B$10)^(A8-1)</f>
      </c>
      <c r="F8" s="23">
        <f>D8*E8/100</f>
      </c>
      <c r="G8" s="23">
        <f>B8*'Inputs'!$B$12*(1+'Inputs'!$B$13)^(A8-1)</f>
      </c>
      <c r="H8" s="23">
        <f>F8-G8</f>
      </c>
      <c r="I8" s="23">
        <f>C8*H8/'Inputs'!$B$17</f>
      </c>
      <c r="J8" s="22">
        <f>1/(1+'Inputs'!$B$15)^A8</f>
      </c>
      <c r="K8" s="23">
        <f>I8*J8</f>
      </c>
      <c r="L8" s="23">
        <f>P7</f>
      </c>
      <c r="M8" s="23">
        <f>C8*L8*'Inputs'!$B$15</f>
      </c>
      <c r="N8" s="23">
        <f>I8*Summary!$B$8</f>
      </c>
      <c r="O8" s="23">
        <f>N8-M8</f>
      </c>
      <c r="P8" s="23">
        <f>L8-O8</f>
      </c>
      <c r="Q8" s="24">
        <f>IF(N8&gt;0,H8/N8,"")</f>
      </c>
      <c r="R8" s="23">
        <f>N9*'Inputs'!$B$21/12</f>
      </c>
      <c r="S8" s="23">
        <f>H8</f>
      </c>
      <c r="T8" s="23">
        <f>H8-N8</f>
      </c>
      <c r="U8" s="23">
        <f>U7+S8</f>
      </c>
      <c r="V8" s="25">
        <f>IF(AND(U7&lt;0,U8&gt;=0),A7-U7/S8,0)</f>
      </c>
    </row>
    <row r="9" spans="1:22" x14ac:dyDescent="0.25">
      <c r="A9">
        <v>4</v>
      </c>
      <c r="B9" s="20">
        <f>IF(AND(A9&gt;=1,A9&lt;='Inputs'!$B$14),1,0)</f>
      </c>
      <c r="C9" s="20">
        <f>IF(AND(A9&gt;=1,A9&lt;='Inputs'!$B$16),1,0)</f>
      </c>
      <c r="D9" s="21">
        <f>B9*'Inputs'!$B$25*(1-'Inputs'!$B$8)^(A9-1)</f>
      </c>
      <c r="E9" s="22">
        <f>B9*'Inputs'!$B$9*(1+'Inputs'!$B$10)^(A9-1)</f>
      </c>
      <c r="F9" s="23">
        <f>D9*E9/100</f>
      </c>
      <c r="G9" s="23">
        <f>B9*'Inputs'!$B$12*(1+'Inputs'!$B$13)^(A9-1)</f>
      </c>
      <c r="H9" s="23">
        <f>F9-G9</f>
      </c>
      <c r="I9" s="23">
        <f>C9*H9/'Inputs'!$B$17</f>
      </c>
      <c r="J9" s="22">
        <f>1/(1+'Inputs'!$B$15)^A9</f>
      </c>
      <c r="K9" s="23">
        <f>I9*J9</f>
      </c>
      <c r="L9" s="23">
        <f>P8</f>
      </c>
      <c r="M9" s="23">
        <f>C9*L9*'Inputs'!$B$15</f>
      </c>
      <c r="N9" s="23">
        <f>I9*Summary!$B$8</f>
      </c>
      <c r="O9" s="23">
        <f>N9-M9</f>
      </c>
      <c r="P9" s="23">
        <f>L9-O9</f>
      </c>
      <c r="Q9" s="24">
        <f>IF(N9&gt;0,H9/N9,"")</f>
      </c>
      <c r="R9" s="23">
        <f>N10*'Inputs'!$B$21/12</f>
      </c>
      <c r="S9" s="23">
        <f>H9</f>
      </c>
      <c r="T9" s="23">
        <f>H9-N9</f>
      </c>
      <c r="U9" s="23">
        <f>U8+S9</f>
      </c>
      <c r="V9" s="25">
        <f>IF(AND(U8&lt;0,U9&gt;=0),A8-U8/S9,0)</f>
      </c>
    </row>
    <row r="10" spans="1:22" x14ac:dyDescent="0.25">
      <c r="A10">
        <v>5</v>
      </c>
      <c r="B10" s="20">
        <f>IF(AND(A10&gt;=1,A10&lt;='Inputs'!$B$14),1,0)</f>
      </c>
      <c r="C10" s="20">
        <f>IF(AND(A10&gt;=1,A10&lt;='Inputs'!$B$16),1,0)</f>
      </c>
      <c r="D10" s="21">
        <f>B10*'Inputs'!$B$25*(1-'Inputs'!$B$8)^(A10-1)</f>
      </c>
      <c r="E10" s="22">
        <f>B10*'Inputs'!$B$9*(1+'Inputs'!$B$10)^(A10-1)</f>
      </c>
      <c r="F10" s="23">
        <f>D10*E10/100</f>
      </c>
      <c r="G10" s="23">
        <f>B10*'Inputs'!$B$12*(1+'Inputs'!$B$13)^(A10-1)</f>
      </c>
      <c r="H10" s="23">
        <f>F10-G10</f>
      </c>
      <c r="I10" s="23">
        <f>C10*H10/'Inputs'!$B$17</f>
      </c>
      <c r="J10" s="22">
        <f>1/(1+'Inputs'!$B$15)^A10</f>
      </c>
      <c r="K10" s="23">
        <f>I10*J10</f>
      </c>
      <c r="L10" s="23">
        <f>P9</f>
      </c>
      <c r="M10" s="23">
        <f>C10*L10*'Inputs'!$B$15</f>
      </c>
      <c r="N10" s="23">
        <f>I10*Summary!$B$8</f>
      </c>
      <c r="O10" s="23">
        <f>N10-M10</f>
      </c>
      <c r="P10" s="23">
        <f>L10-O10</f>
      </c>
      <c r="Q10" s="24">
        <f>IF(N10&gt;0,H10/N10,"")</f>
      </c>
      <c r="R10" s="23">
        <f>N11*'Inputs'!$B$21/12</f>
      </c>
      <c r="S10" s="23">
        <f>H10</f>
      </c>
      <c r="T10" s="23">
        <f>H10-N10</f>
      </c>
      <c r="U10" s="23">
        <f>U9+S10</f>
      </c>
      <c r="V10" s="25">
        <f>IF(AND(U9&lt;0,U10&gt;=0),A9-U9/S10,0)</f>
      </c>
    </row>
    <row r="11" spans="1:22" x14ac:dyDescent="0.25">
      <c r="A11">
        <v>6</v>
      </c>
      <c r="B11" s="20">
        <f>IF(AND(A11&gt;=1,A11&lt;='Inputs'!$B$14),1,0)</f>
      </c>
      <c r="C11" s="20">
        <f>IF(AND(A11&gt;=1,A11&lt;='Inputs'!$B$16),1,0)</f>
      </c>
      <c r="D11" s="21">
        <f>B11*'Inputs'!$B$25*(1-'Inputs'!$B$8)^(A11-1)</f>
      </c>
      <c r="E11" s="22">
        <f>B11*'Inputs'!$B$9*(1+'Inputs'!$B$10)^(A11-1)</f>
      </c>
      <c r="F11" s="23">
        <f>D11*E11/100</f>
      </c>
      <c r="G11" s="23">
        <f>B11*'Inputs'!$B$12*(1+'Inputs'!$B$13)^(A11-1)</f>
      </c>
      <c r="H11" s="23">
        <f>F11-G11</f>
      </c>
      <c r="I11" s="23">
        <f>C11*H11/'Inputs'!$B$17</f>
      </c>
      <c r="J11" s="22">
        <f>1/(1+'Inputs'!$B$15)^A11</f>
      </c>
      <c r="K11" s="23">
        <f>I11*J11</f>
      </c>
      <c r="L11" s="23">
        <f>P10</f>
      </c>
      <c r="M11" s="23">
        <f>C11*L11*'Inputs'!$B$15</f>
      </c>
      <c r="N11" s="23">
        <f>I11*Summary!$B$8</f>
      </c>
      <c r="O11" s="23">
        <f>N11-M11</f>
      </c>
      <c r="P11" s="23">
        <f>L11-O11</f>
      </c>
      <c r="Q11" s="24">
        <f>IF(N11&gt;0,H11/N11,"")</f>
      </c>
      <c r="R11" s="23">
        <f>N12*'Inputs'!$B$21/12</f>
      </c>
      <c r="S11" s="23">
        <f>H11</f>
      </c>
      <c r="T11" s="23">
        <f>H11-N11</f>
      </c>
      <c r="U11" s="23">
        <f>U10+S11</f>
      </c>
      <c r="V11" s="25">
        <f>IF(AND(U10&lt;0,U11&gt;=0),A10-U10/S11,0)</f>
      </c>
    </row>
    <row r="12" spans="1:22" x14ac:dyDescent="0.25">
      <c r="A12">
        <v>7</v>
      </c>
      <c r="B12" s="20">
        <f>IF(AND(A12&gt;=1,A12&lt;='Inputs'!$B$14),1,0)</f>
      </c>
      <c r="C12" s="20">
        <f>IF(AND(A12&gt;=1,A12&lt;='Inputs'!$B$16),1,0)</f>
      </c>
      <c r="D12" s="21">
        <f>B12*'Inputs'!$B$25*(1-'Inputs'!$B$8)^(A12-1)</f>
      </c>
      <c r="E12" s="22">
        <f>B12*'Inputs'!$B$9*(1+'Inputs'!$B$10)^(A12-1)</f>
      </c>
      <c r="F12" s="23">
        <f>D12*E12/100</f>
      </c>
      <c r="G12" s="23">
        <f>B12*'Inputs'!$B$12*(1+'Inputs'!$B$13)^(A12-1)</f>
      </c>
      <c r="H12" s="23">
        <f>F12-G12</f>
      </c>
      <c r="I12" s="23">
        <f>C12*H12/'Inputs'!$B$17</f>
      </c>
      <c r="J12" s="22">
        <f>1/(1+'Inputs'!$B$15)^A12</f>
      </c>
      <c r="K12" s="23">
        <f>I12*J12</f>
      </c>
      <c r="L12" s="23">
        <f>P11</f>
      </c>
      <c r="M12" s="23">
        <f>C12*L12*'Inputs'!$B$15</f>
      </c>
      <c r="N12" s="23">
        <f>I12*Summary!$B$8</f>
      </c>
      <c r="O12" s="23">
        <f>N12-M12</f>
      </c>
      <c r="P12" s="23">
        <f>L12-O12</f>
      </c>
      <c r="Q12" s="24">
        <f>IF(N12&gt;0,H12/N12,"")</f>
      </c>
      <c r="R12" s="23">
        <f>N13*'Inputs'!$B$21/12</f>
      </c>
      <c r="S12" s="23">
        <f>H12</f>
      </c>
      <c r="T12" s="23">
        <f>H12-N12</f>
      </c>
      <c r="U12" s="23">
        <f>U11+S12</f>
      </c>
      <c r="V12" s="25">
        <f>IF(AND(U11&lt;0,U12&gt;=0),A11-U11/S12,0)</f>
      </c>
    </row>
    <row r="13" spans="1:22" x14ac:dyDescent="0.25">
      <c r="A13">
        <v>8</v>
      </c>
      <c r="B13" s="20">
        <f>IF(AND(A13&gt;=1,A13&lt;='Inputs'!$B$14),1,0)</f>
      </c>
      <c r="C13" s="20">
        <f>IF(AND(A13&gt;=1,A13&lt;='Inputs'!$B$16),1,0)</f>
      </c>
      <c r="D13" s="21">
        <f>B13*'Inputs'!$B$25*(1-'Inputs'!$B$8)^(A13-1)</f>
      </c>
      <c r="E13" s="22">
        <f>B13*'Inputs'!$B$9*(1+'Inputs'!$B$10)^(A13-1)</f>
      </c>
      <c r="F13" s="23">
        <f>D13*E13/100</f>
      </c>
      <c r="G13" s="23">
        <f>B13*'Inputs'!$B$12*(1+'Inputs'!$B$13)^(A13-1)</f>
      </c>
      <c r="H13" s="23">
        <f>F13-G13</f>
      </c>
      <c r="I13" s="23">
        <f>C13*H13/'Inputs'!$B$17</f>
      </c>
      <c r="J13" s="22">
        <f>1/(1+'Inputs'!$B$15)^A13</f>
      </c>
      <c r="K13" s="23">
        <f>I13*J13</f>
      </c>
      <c r="L13" s="23">
        <f>P12</f>
      </c>
      <c r="M13" s="23">
        <f>C13*L13*'Inputs'!$B$15</f>
      </c>
      <c r="N13" s="23">
        <f>I13*Summary!$B$8</f>
      </c>
      <c r="O13" s="23">
        <f>N13-M13</f>
      </c>
      <c r="P13" s="23">
        <f>L13-O13</f>
      </c>
      <c r="Q13" s="24">
        <f>IF(N13&gt;0,H13/N13,"")</f>
      </c>
      <c r="R13" s="23">
        <f>N14*'Inputs'!$B$21/12</f>
      </c>
      <c r="S13" s="23">
        <f>H13</f>
      </c>
      <c r="T13" s="23">
        <f>H13-N13</f>
      </c>
      <c r="U13" s="23">
        <f>U12+S13</f>
      </c>
      <c r="V13" s="25">
        <f>IF(AND(U12&lt;0,U13&gt;=0),A12-U12/S13,0)</f>
      </c>
    </row>
    <row r="14" spans="1:22" x14ac:dyDescent="0.25">
      <c r="A14">
        <v>9</v>
      </c>
      <c r="B14" s="20">
        <f>IF(AND(A14&gt;=1,A14&lt;='Inputs'!$B$14),1,0)</f>
      </c>
      <c r="C14" s="20">
        <f>IF(AND(A14&gt;=1,A14&lt;='Inputs'!$B$16),1,0)</f>
      </c>
      <c r="D14" s="21">
        <f>B14*'Inputs'!$B$25*(1-'Inputs'!$B$8)^(A14-1)</f>
      </c>
      <c r="E14" s="22">
        <f>B14*'Inputs'!$B$9*(1+'Inputs'!$B$10)^(A14-1)</f>
      </c>
      <c r="F14" s="23">
        <f>D14*E14/100</f>
      </c>
      <c r="G14" s="23">
        <f>B14*'Inputs'!$B$12*(1+'Inputs'!$B$13)^(A14-1)</f>
      </c>
      <c r="H14" s="23">
        <f>F14-G14</f>
      </c>
      <c r="I14" s="23">
        <f>C14*H14/'Inputs'!$B$17</f>
      </c>
      <c r="J14" s="22">
        <f>1/(1+'Inputs'!$B$15)^A14</f>
      </c>
      <c r="K14" s="23">
        <f>I14*J14</f>
      </c>
      <c r="L14" s="23">
        <f>P13</f>
      </c>
      <c r="M14" s="23">
        <f>C14*L14*'Inputs'!$B$15</f>
      </c>
      <c r="N14" s="23">
        <f>I14*Summary!$B$8</f>
      </c>
      <c r="O14" s="23">
        <f>N14-M14</f>
      </c>
      <c r="P14" s="23">
        <f>L14-O14</f>
      </c>
      <c r="Q14" s="24">
        <f>IF(N14&gt;0,H14/N14,"")</f>
      </c>
      <c r="R14" s="23">
        <f>N15*'Inputs'!$B$21/12</f>
      </c>
      <c r="S14" s="23">
        <f>H14</f>
      </c>
      <c r="T14" s="23">
        <f>H14-N14</f>
      </c>
      <c r="U14" s="23">
        <f>U13+S14</f>
      </c>
      <c r="V14" s="25">
        <f>IF(AND(U13&lt;0,U14&gt;=0),A13-U13/S14,0)</f>
      </c>
    </row>
    <row r="15" spans="1:22" x14ac:dyDescent="0.25">
      <c r="A15">
        <v>10</v>
      </c>
      <c r="B15" s="20">
        <f>IF(AND(A15&gt;=1,A15&lt;='Inputs'!$B$14),1,0)</f>
      </c>
      <c r="C15" s="20">
        <f>IF(AND(A15&gt;=1,A15&lt;='Inputs'!$B$16),1,0)</f>
      </c>
      <c r="D15" s="21">
        <f>B15*'Inputs'!$B$25*(1-'Inputs'!$B$8)^(A15-1)</f>
      </c>
      <c r="E15" s="22">
        <f>B15*'Inputs'!$B$9*(1+'Inputs'!$B$10)^(A15-1)</f>
      </c>
      <c r="F15" s="23">
        <f>D15*E15/100</f>
      </c>
      <c r="G15" s="23">
        <f>B15*'Inputs'!$B$12*(1+'Inputs'!$B$13)^(A15-1)</f>
      </c>
      <c r="H15" s="23">
        <f>F15-G15</f>
      </c>
      <c r="I15" s="23">
        <f>C15*H15/'Inputs'!$B$17</f>
      </c>
      <c r="J15" s="22">
        <f>1/(1+'Inputs'!$B$15)^A15</f>
      </c>
      <c r="K15" s="23">
        <f>I15*J15</f>
      </c>
      <c r="L15" s="23">
        <f>P14</f>
      </c>
      <c r="M15" s="23">
        <f>C15*L15*'Inputs'!$B$15</f>
      </c>
      <c r="N15" s="23">
        <f>I15*Summary!$B$8</f>
      </c>
      <c r="O15" s="23">
        <f>N15-M15</f>
      </c>
      <c r="P15" s="23">
        <f>L15-O15</f>
      </c>
      <c r="Q15" s="24">
        <f>IF(N15&gt;0,H15/N15,"")</f>
      </c>
      <c r="R15" s="23">
        <f>N16*'Inputs'!$B$21/12</f>
      </c>
      <c r="S15" s="23">
        <f>H15</f>
      </c>
      <c r="T15" s="23">
        <f>H15-N15</f>
      </c>
      <c r="U15" s="23">
        <f>U14+S15</f>
      </c>
      <c r="V15" s="25">
        <f>IF(AND(U14&lt;0,U15&gt;=0),A14-U14/S15,0)</f>
      </c>
    </row>
    <row r="16" spans="1:22" x14ac:dyDescent="0.25">
      <c r="A16">
        <v>11</v>
      </c>
      <c r="B16" s="20">
        <f>IF(AND(A16&gt;=1,A16&lt;='Inputs'!$B$14),1,0)</f>
      </c>
      <c r="C16" s="20">
        <f>IF(AND(A16&gt;=1,A16&lt;='Inputs'!$B$16),1,0)</f>
      </c>
      <c r="D16" s="21">
        <f>B16*'Inputs'!$B$25*(1-'Inputs'!$B$8)^(A16-1)</f>
      </c>
      <c r="E16" s="22">
        <f>B16*'Inputs'!$B$9*(1+'Inputs'!$B$10)^(A16-1)</f>
      </c>
      <c r="F16" s="23">
        <f>D16*E16/100</f>
      </c>
      <c r="G16" s="23">
        <f>B16*'Inputs'!$B$12*(1+'Inputs'!$B$13)^(A16-1)</f>
      </c>
      <c r="H16" s="23">
        <f>F16-G16</f>
      </c>
      <c r="I16" s="23">
        <f>C16*H16/'Inputs'!$B$17</f>
      </c>
      <c r="J16" s="22">
        <f>1/(1+'Inputs'!$B$15)^A16</f>
      </c>
      <c r="K16" s="23">
        <f>I16*J16</f>
      </c>
      <c r="L16" s="23">
        <f>P15</f>
      </c>
      <c r="M16" s="23">
        <f>C16*L16*'Inputs'!$B$15</f>
      </c>
      <c r="N16" s="23">
        <f>I16*Summary!$B$8</f>
      </c>
      <c r="O16" s="23">
        <f>N16-M16</f>
      </c>
      <c r="P16" s="23">
        <f>L16-O16</f>
      </c>
      <c r="Q16" s="24">
        <f>IF(N16&gt;0,H16/N16,"")</f>
      </c>
      <c r="R16" s="23">
        <f>N17*'Inputs'!$B$21/12</f>
      </c>
      <c r="S16" s="23">
        <f>H16</f>
      </c>
      <c r="T16" s="23">
        <f>H16-N16</f>
      </c>
      <c r="U16" s="23">
        <f>U15+S16</f>
      </c>
      <c r="V16" s="25">
        <f>IF(AND(U15&lt;0,U16&gt;=0),A15-U15/S16,0)</f>
      </c>
    </row>
    <row r="17" spans="1:22" x14ac:dyDescent="0.25">
      <c r="A17">
        <v>12</v>
      </c>
      <c r="B17" s="20">
        <f>IF(AND(A17&gt;=1,A17&lt;='Inputs'!$B$14),1,0)</f>
      </c>
      <c r="C17" s="20">
        <f>IF(AND(A17&gt;=1,A17&lt;='Inputs'!$B$16),1,0)</f>
      </c>
      <c r="D17" s="21">
        <f>B17*'Inputs'!$B$25*(1-'Inputs'!$B$8)^(A17-1)</f>
      </c>
      <c r="E17" s="22">
        <f>B17*'Inputs'!$B$9*(1+'Inputs'!$B$10)^(A17-1)</f>
      </c>
      <c r="F17" s="23">
        <f>D17*E17/100</f>
      </c>
      <c r="G17" s="23">
        <f>B17*'Inputs'!$B$12*(1+'Inputs'!$B$13)^(A17-1)</f>
      </c>
      <c r="H17" s="23">
        <f>F17-G17</f>
      </c>
      <c r="I17" s="23">
        <f>C17*H17/'Inputs'!$B$17</f>
      </c>
      <c r="J17" s="22">
        <f>1/(1+'Inputs'!$B$15)^A17</f>
      </c>
      <c r="K17" s="23">
        <f>I17*J17</f>
      </c>
      <c r="L17" s="23">
        <f>P16</f>
      </c>
      <c r="M17" s="23">
        <f>C17*L17*'Inputs'!$B$15</f>
      </c>
      <c r="N17" s="23">
        <f>I17*Summary!$B$8</f>
      </c>
      <c r="O17" s="23">
        <f>N17-M17</f>
      </c>
      <c r="P17" s="23">
        <f>L17-O17</f>
      </c>
      <c r="Q17" s="24">
        <f>IF(N17&gt;0,H17/N17,"")</f>
      </c>
      <c r="R17" s="23">
        <f>N18*'Inputs'!$B$21/12</f>
      </c>
      <c r="S17" s="23">
        <f>H17</f>
      </c>
      <c r="T17" s="23">
        <f>H17-N17</f>
      </c>
      <c r="U17" s="23">
        <f>U16+S17</f>
      </c>
      <c r="V17" s="25">
        <f>IF(AND(U16&lt;0,U17&gt;=0),A16-U16/S17,0)</f>
      </c>
    </row>
    <row r="18" spans="1:22" x14ac:dyDescent="0.25">
      <c r="A18">
        <v>13</v>
      </c>
      <c r="B18" s="20">
        <f>IF(AND(A18&gt;=1,A18&lt;='Inputs'!$B$14),1,0)</f>
      </c>
      <c r="C18" s="20">
        <f>IF(AND(A18&gt;=1,A18&lt;='Inputs'!$B$16),1,0)</f>
      </c>
      <c r="D18" s="21">
        <f>B18*'Inputs'!$B$25*(1-'Inputs'!$B$8)^(A18-1)</f>
      </c>
      <c r="E18" s="22">
        <f>B18*'Inputs'!$B$9*(1+'Inputs'!$B$10)^(A18-1)</f>
      </c>
      <c r="F18" s="23">
        <f>D18*E18/100</f>
      </c>
      <c r="G18" s="23">
        <f>B18*'Inputs'!$B$12*(1+'Inputs'!$B$13)^(A18-1)</f>
      </c>
      <c r="H18" s="23">
        <f>F18-G18</f>
      </c>
      <c r="I18" s="23">
        <f>C18*H18/'Inputs'!$B$17</f>
      </c>
      <c r="J18" s="22">
        <f>1/(1+'Inputs'!$B$15)^A18</f>
      </c>
      <c r="K18" s="23">
        <f>I18*J18</f>
      </c>
      <c r="L18" s="23">
        <f>P17</f>
      </c>
      <c r="M18" s="23">
        <f>C18*L18*'Inputs'!$B$15</f>
      </c>
      <c r="N18" s="23">
        <f>I18*Summary!$B$8</f>
      </c>
      <c r="O18" s="23">
        <f>N18-M18</f>
      </c>
      <c r="P18" s="23">
        <f>L18-O18</f>
      </c>
      <c r="Q18" s="24">
        <f>IF(N18&gt;0,H18/N18,"")</f>
      </c>
      <c r="R18" s="23">
        <f>N19*'Inputs'!$B$21/12</f>
      </c>
      <c r="S18" s="23">
        <f>H18</f>
      </c>
      <c r="T18" s="23">
        <f>H18-N18</f>
      </c>
      <c r="U18" s="23">
        <f>U17+S18</f>
      </c>
      <c r="V18" s="25">
        <f>IF(AND(U17&lt;0,U18&gt;=0),A17-U17/S18,0)</f>
      </c>
    </row>
    <row r="19" spans="1:22" x14ac:dyDescent="0.25">
      <c r="A19">
        <v>14</v>
      </c>
      <c r="B19" s="20">
        <f>IF(AND(A19&gt;=1,A19&lt;='Inputs'!$B$14),1,0)</f>
      </c>
      <c r="C19" s="20">
        <f>IF(AND(A19&gt;=1,A19&lt;='Inputs'!$B$16),1,0)</f>
      </c>
      <c r="D19" s="21">
        <f>B19*'Inputs'!$B$25*(1-'Inputs'!$B$8)^(A19-1)</f>
      </c>
      <c r="E19" s="22">
        <f>B19*'Inputs'!$B$9*(1+'Inputs'!$B$10)^(A19-1)</f>
      </c>
      <c r="F19" s="23">
        <f>D19*E19/100</f>
      </c>
      <c r="G19" s="23">
        <f>B19*'Inputs'!$B$12*(1+'Inputs'!$B$13)^(A19-1)</f>
      </c>
      <c r="H19" s="23">
        <f>F19-G19</f>
      </c>
      <c r="I19" s="23">
        <f>C19*H19/'Inputs'!$B$17</f>
      </c>
      <c r="J19" s="22">
        <f>1/(1+'Inputs'!$B$15)^A19</f>
      </c>
      <c r="K19" s="23">
        <f>I19*J19</f>
      </c>
      <c r="L19" s="23">
        <f>P18</f>
      </c>
      <c r="M19" s="23">
        <f>C19*L19*'Inputs'!$B$15</f>
      </c>
      <c r="N19" s="23">
        <f>I19*Summary!$B$8</f>
      </c>
      <c r="O19" s="23">
        <f>N19-M19</f>
      </c>
      <c r="P19" s="23">
        <f>L19-O19</f>
      </c>
      <c r="Q19" s="24">
        <f>IF(N19&gt;0,H19/N19,"")</f>
      </c>
      <c r="R19" s="23">
        <f>N20*'Inputs'!$B$21/12</f>
      </c>
      <c r="S19" s="23">
        <f>H19</f>
      </c>
      <c r="T19" s="23">
        <f>H19-N19</f>
      </c>
      <c r="U19" s="23">
        <f>U18+S19</f>
      </c>
      <c r="V19" s="25">
        <f>IF(AND(U18&lt;0,U19&gt;=0),A18-U18/S19,0)</f>
      </c>
    </row>
    <row r="20" spans="1:22" x14ac:dyDescent="0.25">
      <c r="A20">
        <v>15</v>
      </c>
      <c r="B20" s="20">
        <f>IF(AND(A20&gt;=1,A20&lt;='Inputs'!$B$14),1,0)</f>
      </c>
      <c r="C20" s="20">
        <f>IF(AND(A20&gt;=1,A20&lt;='Inputs'!$B$16),1,0)</f>
      </c>
      <c r="D20" s="21">
        <f>B20*'Inputs'!$B$25*(1-'Inputs'!$B$8)^(A20-1)</f>
      </c>
      <c r="E20" s="22">
        <f>B20*'Inputs'!$B$9*(1+'Inputs'!$B$10)^(A20-1)</f>
      </c>
      <c r="F20" s="23">
        <f>D20*E20/100</f>
      </c>
      <c r="G20" s="23">
        <f>B20*'Inputs'!$B$12*(1+'Inputs'!$B$13)^(A20-1)</f>
      </c>
      <c r="H20" s="23">
        <f>F20-G20</f>
      </c>
      <c r="I20" s="23">
        <f>C20*H20/'Inputs'!$B$17</f>
      </c>
      <c r="J20" s="22">
        <f>1/(1+'Inputs'!$B$15)^A20</f>
      </c>
      <c r="K20" s="23">
        <f>I20*J20</f>
      </c>
      <c r="L20" s="23">
        <f>P19</f>
      </c>
      <c r="M20" s="23">
        <f>C20*L20*'Inputs'!$B$15</f>
      </c>
      <c r="N20" s="23">
        <f>I20*Summary!$B$8</f>
      </c>
      <c r="O20" s="23">
        <f>N20-M20</f>
      </c>
      <c r="P20" s="23">
        <f>L20-O20</f>
      </c>
      <c r="Q20" s="24">
        <f>IF(N20&gt;0,H20/N20,"")</f>
      </c>
      <c r="R20" s="23">
        <f>N21*'Inputs'!$B$21/12</f>
      </c>
      <c r="S20" s="23">
        <f>H20</f>
      </c>
      <c r="T20" s="23">
        <f>H20-N20</f>
      </c>
      <c r="U20" s="23">
        <f>U19+S20</f>
      </c>
      <c r="V20" s="25">
        <f>IF(AND(U19&lt;0,U20&gt;=0),A19-U19/S20,0)</f>
      </c>
    </row>
    <row r="21" spans="1:22" x14ac:dyDescent="0.25">
      <c r="A21">
        <v>16</v>
      </c>
      <c r="B21" s="20">
        <f>IF(AND(A21&gt;=1,A21&lt;='Inputs'!$B$14),1,0)</f>
      </c>
      <c r="C21" s="20">
        <f>IF(AND(A21&gt;=1,A21&lt;='Inputs'!$B$16),1,0)</f>
      </c>
      <c r="D21" s="21">
        <f>B21*'Inputs'!$B$25*(1-'Inputs'!$B$8)^(A21-1)</f>
      </c>
      <c r="E21" s="22">
        <f>B21*'Inputs'!$B$9*(1+'Inputs'!$B$10)^(A21-1)</f>
      </c>
      <c r="F21" s="23">
        <f>D21*E21/100</f>
      </c>
      <c r="G21" s="23">
        <f>B21*'Inputs'!$B$12*(1+'Inputs'!$B$13)^(A21-1)</f>
      </c>
      <c r="H21" s="23">
        <f>F21-G21</f>
      </c>
      <c r="I21" s="23">
        <f>C21*H21/'Inputs'!$B$17</f>
      </c>
      <c r="J21" s="22">
        <f>1/(1+'Inputs'!$B$15)^A21</f>
      </c>
      <c r="K21" s="23">
        <f>I21*J21</f>
      </c>
      <c r="L21" s="23">
        <f>P20</f>
      </c>
      <c r="M21" s="23">
        <f>C21*L21*'Inputs'!$B$15</f>
      </c>
      <c r="N21" s="23">
        <f>I21*Summary!$B$8</f>
      </c>
      <c r="O21" s="23">
        <f>N21-M21</f>
      </c>
      <c r="P21" s="23">
        <f>L21-O21</f>
      </c>
      <c r="Q21" s="24">
        <f>IF(N21&gt;0,H21/N21,"")</f>
      </c>
      <c r="R21" s="23">
        <f>N22*'Inputs'!$B$21/12</f>
      </c>
      <c r="S21" s="23">
        <f>H21</f>
      </c>
      <c r="T21" s="23">
        <f>H21-N21</f>
      </c>
      <c r="U21" s="23">
        <f>U20+S21</f>
      </c>
      <c r="V21" s="25">
        <f>IF(AND(U20&lt;0,U21&gt;=0),A20-U20/S21,0)</f>
      </c>
    </row>
    <row r="22" spans="1:22" x14ac:dyDescent="0.25">
      <c r="A22">
        <v>17</v>
      </c>
      <c r="B22" s="20">
        <f>IF(AND(A22&gt;=1,A22&lt;='Inputs'!$B$14),1,0)</f>
      </c>
      <c r="C22" s="20">
        <f>IF(AND(A22&gt;=1,A22&lt;='Inputs'!$B$16),1,0)</f>
      </c>
      <c r="D22" s="21">
        <f>B22*'Inputs'!$B$25*(1-'Inputs'!$B$8)^(A22-1)</f>
      </c>
      <c r="E22" s="22">
        <f>B22*'Inputs'!$B$9*(1+'Inputs'!$B$10)^(A22-1)</f>
      </c>
      <c r="F22" s="23">
        <f>D22*E22/100</f>
      </c>
      <c r="G22" s="23">
        <f>B22*'Inputs'!$B$12*(1+'Inputs'!$B$13)^(A22-1)</f>
      </c>
      <c r="H22" s="23">
        <f>F22-G22</f>
      </c>
      <c r="I22" s="23">
        <f>C22*H22/'Inputs'!$B$17</f>
      </c>
      <c r="J22" s="22">
        <f>1/(1+'Inputs'!$B$15)^A22</f>
      </c>
      <c r="K22" s="23">
        <f>I22*J22</f>
      </c>
      <c r="L22" s="23">
        <f>P21</f>
      </c>
      <c r="M22" s="23">
        <f>C22*L22*'Inputs'!$B$15</f>
      </c>
      <c r="N22" s="23">
        <f>I22*Summary!$B$8</f>
      </c>
      <c r="O22" s="23">
        <f>N22-M22</f>
      </c>
      <c r="P22" s="23">
        <f>L22-O22</f>
      </c>
      <c r="Q22" s="24">
        <f>IF(N22&gt;0,H22/N22,"")</f>
      </c>
      <c r="R22" s="23">
        <f>N23*'Inputs'!$B$21/12</f>
      </c>
      <c r="S22" s="23">
        <f>H22</f>
      </c>
      <c r="T22" s="23">
        <f>H22-N22</f>
      </c>
      <c r="U22" s="23">
        <f>U21+S22</f>
      </c>
      <c r="V22" s="25">
        <f>IF(AND(U21&lt;0,U22&gt;=0),A21-U21/S22,0)</f>
      </c>
    </row>
    <row r="23" spans="1:22" x14ac:dyDescent="0.25">
      <c r="A23">
        <v>18</v>
      </c>
      <c r="B23" s="20">
        <f>IF(AND(A23&gt;=1,A23&lt;='Inputs'!$B$14),1,0)</f>
      </c>
      <c r="C23" s="20">
        <f>IF(AND(A23&gt;=1,A23&lt;='Inputs'!$B$16),1,0)</f>
      </c>
      <c r="D23" s="21">
        <f>B23*'Inputs'!$B$25*(1-'Inputs'!$B$8)^(A23-1)</f>
      </c>
      <c r="E23" s="22">
        <f>B23*'Inputs'!$B$9*(1+'Inputs'!$B$10)^(A23-1)</f>
      </c>
      <c r="F23" s="23">
        <f>D23*E23/100</f>
      </c>
      <c r="G23" s="23">
        <f>B23*'Inputs'!$B$12*(1+'Inputs'!$B$13)^(A23-1)</f>
      </c>
      <c r="H23" s="23">
        <f>F23-G23</f>
      </c>
      <c r="I23" s="23">
        <f>C23*H23/'Inputs'!$B$17</f>
      </c>
      <c r="J23" s="22">
        <f>1/(1+'Inputs'!$B$15)^A23</f>
      </c>
      <c r="K23" s="23">
        <f>I23*J23</f>
      </c>
      <c r="L23" s="23">
        <f>P22</f>
      </c>
      <c r="M23" s="23">
        <f>C23*L23*'Inputs'!$B$15</f>
      </c>
      <c r="N23" s="23">
        <f>I23*Summary!$B$8</f>
      </c>
      <c r="O23" s="23">
        <f>N23-M23</f>
      </c>
      <c r="P23" s="23">
        <f>L23-O23</f>
      </c>
      <c r="Q23" s="24">
        <f>IF(N23&gt;0,H23/N23,"")</f>
      </c>
      <c r="R23" s="23">
        <f>N24*'Inputs'!$B$21/12</f>
      </c>
      <c r="S23" s="23">
        <f>H23</f>
      </c>
      <c r="T23" s="23">
        <f>H23-N23</f>
      </c>
      <c r="U23" s="23">
        <f>U22+S23</f>
      </c>
      <c r="V23" s="25">
        <f>IF(AND(U22&lt;0,U23&gt;=0),A22-U22/S23,0)</f>
      </c>
    </row>
    <row r="24" spans="1:22" x14ac:dyDescent="0.25">
      <c r="A24">
        <v>19</v>
      </c>
      <c r="B24" s="20">
        <f>IF(AND(A24&gt;=1,A24&lt;='Inputs'!$B$14),1,0)</f>
      </c>
      <c r="C24" s="20">
        <f>IF(AND(A24&gt;=1,A24&lt;='Inputs'!$B$16),1,0)</f>
      </c>
      <c r="D24" s="21">
        <f>B24*'Inputs'!$B$25*(1-'Inputs'!$B$8)^(A24-1)</f>
      </c>
      <c r="E24" s="22">
        <f>B24*'Inputs'!$B$9*(1+'Inputs'!$B$10)^(A24-1)</f>
      </c>
      <c r="F24" s="23">
        <f>D24*E24/100</f>
      </c>
      <c r="G24" s="23">
        <f>B24*'Inputs'!$B$12*(1+'Inputs'!$B$13)^(A24-1)</f>
      </c>
      <c r="H24" s="23">
        <f>F24-G24</f>
      </c>
      <c r="I24" s="23">
        <f>C24*H24/'Inputs'!$B$17</f>
      </c>
      <c r="J24" s="22">
        <f>1/(1+'Inputs'!$B$15)^A24</f>
      </c>
      <c r="K24" s="23">
        <f>I24*J24</f>
      </c>
      <c r="L24" s="23">
        <f>P23</f>
      </c>
      <c r="M24" s="23">
        <f>C24*L24*'Inputs'!$B$15</f>
      </c>
      <c r="N24" s="23">
        <f>I24*Summary!$B$8</f>
      </c>
      <c r="O24" s="23">
        <f>N24-M24</f>
      </c>
      <c r="P24" s="23">
        <f>L24-O24</f>
      </c>
      <c r="Q24" s="24">
        <f>IF(N24&gt;0,H24/N24,"")</f>
      </c>
      <c r="R24" s="23">
        <f>N25*'Inputs'!$B$21/12</f>
      </c>
      <c r="S24" s="23">
        <f>H24</f>
      </c>
      <c r="T24" s="23">
        <f>H24-N24</f>
      </c>
      <c r="U24" s="23">
        <f>U23+S24</f>
      </c>
      <c r="V24" s="25">
        <f>IF(AND(U23&lt;0,U24&gt;=0),A23-U23/S24,0)</f>
      </c>
    </row>
    <row r="25" spans="1:22" x14ac:dyDescent="0.25">
      <c r="A25">
        <v>20</v>
      </c>
      <c r="B25" s="20">
        <f>IF(AND(A25&gt;=1,A25&lt;='Inputs'!$B$14),1,0)</f>
      </c>
      <c r="C25" s="20">
        <f>IF(AND(A25&gt;=1,A25&lt;='Inputs'!$B$16),1,0)</f>
      </c>
      <c r="D25" s="21">
        <f>B25*'Inputs'!$B$25*(1-'Inputs'!$B$8)^(A25-1)</f>
      </c>
      <c r="E25" s="22">
        <f>B25*'Inputs'!$B$9*(1+'Inputs'!$B$10)^(A25-1)</f>
      </c>
      <c r="F25" s="23">
        <f>D25*E25/100</f>
      </c>
      <c r="G25" s="23">
        <f>B25*'Inputs'!$B$12*(1+'Inputs'!$B$13)^(A25-1)</f>
      </c>
      <c r="H25" s="23">
        <f>F25-G25</f>
      </c>
      <c r="I25" s="23">
        <f>C25*H25/'Inputs'!$B$17</f>
      </c>
      <c r="J25" s="22">
        <f>1/(1+'Inputs'!$B$15)^A25</f>
      </c>
      <c r="K25" s="23">
        <f>I25*J25</f>
      </c>
      <c r="L25" s="23">
        <f>P24</f>
      </c>
      <c r="M25" s="23">
        <f>C25*L25*'Inputs'!$B$15</f>
      </c>
      <c r="N25" s="23">
        <f>I25*Summary!$B$8</f>
      </c>
      <c r="O25" s="23">
        <f>N25-M25</f>
      </c>
      <c r="P25" s="23">
        <f>L25-O25</f>
      </c>
      <c r="Q25" s="24">
        <f>IF(N25&gt;0,H25/N25,"")</f>
      </c>
      <c r="R25" s="23">
        <f>N26*'Inputs'!$B$21/12</f>
      </c>
      <c r="S25" s="23">
        <f>H25</f>
      </c>
      <c r="T25" s="23">
        <f>H25-N25</f>
      </c>
      <c r="U25" s="23">
        <f>U24+S25</f>
      </c>
      <c r="V25" s="25">
        <f>IF(AND(U24&lt;0,U25&gt;=0),A24-U24/S25,0)</f>
      </c>
    </row>
    <row r="26" spans="1:22" x14ac:dyDescent="0.25">
      <c r="A26">
        <v>21</v>
      </c>
      <c r="B26" s="20">
        <f>IF(AND(A26&gt;=1,A26&lt;='Inputs'!$B$14),1,0)</f>
      </c>
      <c r="C26" s="20">
        <f>IF(AND(A26&gt;=1,A26&lt;='Inputs'!$B$16),1,0)</f>
      </c>
      <c r="D26" s="21">
        <f>B26*'Inputs'!$B$25*(1-'Inputs'!$B$8)^(A26-1)</f>
      </c>
      <c r="E26" s="22">
        <f>B26*'Inputs'!$B$9*(1+'Inputs'!$B$10)^(A26-1)</f>
      </c>
      <c r="F26" s="23">
        <f>D26*E26/100</f>
      </c>
      <c r="G26" s="23">
        <f>B26*'Inputs'!$B$12*(1+'Inputs'!$B$13)^(A26-1)</f>
      </c>
      <c r="H26" s="23">
        <f>F26-G26</f>
      </c>
      <c r="I26" s="23">
        <f>C26*H26/'Inputs'!$B$17</f>
      </c>
      <c r="J26" s="22">
        <f>1/(1+'Inputs'!$B$15)^A26</f>
      </c>
      <c r="K26" s="23">
        <f>I26*J26</f>
      </c>
      <c r="L26" s="23">
        <f>P25</f>
      </c>
      <c r="M26" s="23">
        <f>C26*L26*'Inputs'!$B$15</f>
      </c>
      <c r="N26" s="23">
        <f>I26*Summary!$B$8</f>
      </c>
      <c r="O26" s="23">
        <f>N26-M26</f>
      </c>
      <c r="P26" s="23">
        <f>L26-O26</f>
      </c>
      <c r="Q26" s="24">
        <f>IF(N26&gt;0,H26/N26,"")</f>
      </c>
      <c r="R26" s="23">
        <f>N27*'Inputs'!$B$21/12</f>
      </c>
      <c r="S26" s="23">
        <f>H26</f>
      </c>
      <c r="T26" s="23">
        <f>H26-N26</f>
      </c>
      <c r="U26" s="23">
        <f>U25+S26</f>
      </c>
      <c r="V26" s="25">
        <f>IF(AND(U25&lt;0,U26&gt;=0),A25-U25/S26,0)</f>
      </c>
    </row>
    <row r="27" spans="1:22" x14ac:dyDescent="0.25">
      <c r="A27">
        <v>22</v>
      </c>
      <c r="B27" s="20">
        <f>IF(AND(A27&gt;=1,A27&lt;='Inputs'!$B$14),1,0)</f>
      </c>
      <c r="C27" s="20">
        <f>IF(AND(A27&gt;=1,A27&lt;='Inputs'!$B$16),1,0)</f>
      </c>
      <c r="D27" s="21">
        <f>B27*'Inputs'!$B$25*(1-'Inputs'!$B$8)^(A27-1)</f>
      </c>
      <c r="E27" s="22">
        <f>B27*'Inputs'!$B$9*(1+'Inputs'!$B$10)^(A27-1)</f>
      </c>
      <c r="F27" s="23">
        <f>D27*E27/100</f>
      </c>
      <c r="G27" s="23">
        <f>B27*'Inputs'!$B$12*(1+'Inputs'!$B$13)^(A27-1)</f>
      </c>
      <c r="H27" s="23">
        <f>F27-G27</f>
      </c>
      <c r="I27" s="23">
        <f>C27*H27/'Inputs'!$B$17</f>
      </c>
      <c r="J27" s="22">
        <f>1/(1+'Inputs'!$B$15)^A27</f>
      </c>
      <c r="K27" s="23">
        <f>I27*J27</f>
      </c>
      <c r="L27" s="23">
        <f>P26</f>
      </c>
      <c r="M27" s="23">
        <f>C27*L27*'Inputs'!$B$15</f>
      </c>
      <c r="N27" s="23">
        <f>I27*Summary!$B$8</f>
      </c>
      <c r="O27" s="23">
        <f>N27-M27</f>
      </c>
      <c r="P27" s="23">
        <f>L27-O27</f>
      </c>
      <c r="Q27" s="24">
        <f>IF(N27&gt;0,H27/N27,"")</f>
      </c>
      <c r="R27" s="23">
        <f>N28*'Inputs'!$B$21/12</f>
      </c>
      <c r="S27" s="23">
        <f>H27</f>
      </c>
      <c r="T27" s="23">
        <f>H27-N27</f>
      </c>
      <c r="U27" s="23">
        <f>U26+S27</f>
      </c>
      <c r="V27" s="25">
        <f>IF(AND(U26&lt;0,U27&gt;=0),A26-U26/S27,0)</f>
      </c>
    </row>
    <row r="28" spans="1:22" x14ac:dyDescent="0.25">
      <c r="A28">
        <v>23</v>
      </c>
      <c r="B28" s="20">
        <f>IF(AND(A28&gt;=1,A28&lt;='Inputs'!$B$14),1,0)</f>
      </c>
      <c r="C28" s="20">
        <f>IF(AND(A28&gt;=1,A28&lt;='Inputs'!$B$16),1,0)</f>
      </c>
      <c r="D28" s="21">
        <f>B28*'Inputs'!$B$25*(1-'Inputs'!$B$8)^(A28-1)</f>
      </c>
      <c r="E28" s="22">
        <f>B28*'Inputs'!$B$9*(1+'Inputs'!$B$10)^(A28-1)</f>
      </c>
      <c r="F28" s="23">
        <f>D28*E28/100</f>
      </c>
      <c r="G28" s="23">
        <f>B28*'Inputs'!$B$12*(1+'Inputs'!$B$13)^(A28-1)</f>
      </c>
      <c r="H28" s="23">
        <f>F28-G28</f>
      </c>
      <c r="I28" s="23">
        <f>C28*H28/'Inputs'!$B$17</f>
      </c>
      <c r="J28" s="22">
        <f>1/(1+'Inputs'!$B$15)^A28</f>
      </c>
      <c r="K28" s="23">
        <f>I28*J28</f>
      </c>
      <c r="L28" s="23">
        <f>P27</f>
      </c>
      <c r="M28" s="23">
        <f>C28*L28*'Inputs'!$B$15</f>
      </c>
      <c r="N28" s="23">
        <f>I28*Summary!$B$8</f>
      </c>
      <c r="O28" s="23">
        <f>N28-M28</f>
      </c>
      <c r="P28" s="23">
        <f>L28-O28</f>
      </c>
      <c r="Q28" s="24">
        <f>IF(N28&gt;0,H28/N28,"")</f>
      </c>
      <c r="R28" s="23">
        <f>N29*'Inputs'!$B$21/12</f>
      </c>
      <c r="S28" s="23">
        <f>H28</f>
      </c>
      <c r="T28" s="23">
        <f>H28-N28</f>
      </c>
      <c r="U28" s="23">
        <f>U27+S28</f>
      </c>
      <c r="V28" s="25">
        <f>IF(AND(U27&lt;0,U28&gt;=0),A27-U27/S28,0)</f>
      </c>
    </row>
    <row r="29" spans="1:22" x14ac:dyDescent="0.25">
      <c r="A29">
        <v>24</v>
      </c>
      <c r="B29" s="20">
        <f>IF(AND(A29&gt;=1,A29&lt;='Inputs'!$B$14),1,0)</f>
      </c>
      <c r="C29" s="20">
        <f>IF(AND(A29&gt;=1,A29&lt;='Inputs'!$B$16),1,0)</f>
      </c>
      <c r="D29" s="21">
        <f>B29*'Inputs'!$B$25*(1-'Inputs'!$B$8)^(A29-1)</f>
      </c>
      <c r="E29" s="22">
        <f>B29*'Inputs'!$B$9*(1+'Inputs'!$B$10)^(A29-1)</f>
      </c>
      <c r="F29" s="23">
        <f>D29*E29/100</f>
      </c>
      <c r="G29" s="23">
        <f>B29*'Inputs'!$B$12*(1+'Inputs'!$B$13)^(A29-1)</f>
      </c>
      <c r="H29" s="23">
        <f>F29-G29</f>
      </c>
      <c r="I29" s="23">
        <f>C29*H29/'Inputs'!$B$17</f>
      </c>
      <c r="J29" s="22">
        <f>1/(1+'Inputs'!$B$15)^A29</f>
      </c>
      <c r="K29" s="23">
        <f>I29*J29</f>
      </c>
      <c r="L29" s="23">
        <f>P28</f>
      </c>
      <c r="M29" s="23">
        <f>C29*L29*'Inputs'!$B$15</f>
      </c>
      <c r="N29" s="23">
        <f>I29*Summary!$B$8</f>
      </c>
      <c r="O29" s="23">
        <f>N29-M29</f>
      </c>
      <c r="P29" s="23">
        <f>L29-O29</f>
      </c>
      <c r="Q29" s="24">
        <f>IF(N29&gt;0,H29/N29,"")</f>
      </c>
      <c r="R29" s="23">
        <f>N30*'Inputs'!$B$21/12</f>
      </c>
      <c r="S29" s="23">
        <f>H29</f>
      </c>
      <c r="T29" s="23">
        <f>H29-N29</f>
      </c>
      <c r="U29" s="23">
        <f>U28+S29</f>
      </c>
      <c r="V29" s="25">
        <f>IF(AND(U28&lt;0,U29&gt;=0),A28-U28/S29,0)</f>
      </c>
    </row>
    <row r="30" spans="1:22" x14ac:dyDescent="0.25">
      <c r="A30">
        <v>25</v>
      </c>
      <c r="B30" s="20">
        <f>IF(AND(A30&gt;=1,A30&lt;='Inputs'!$B$14),1,0)</f>
      </c>
      <c r="C30" s="20">
        <f>IF(AND(A30&gt;=1,A30&lt;='Inputs'!$B$16),1,0)</f>
      </c>
      <c r="D30" s="21">
        <f>B30*'Inputs'!$B$25*(1-'Inputs'!$B$8)^(A30-1)</f>
      </c>
      <c r="E30" s="22">
        <f>B30*'Inputs'!$B$9*(1+'Inputs'!$B$10)^(A30-1)</f>
      </c>
      <c r="F30" s="23">
        <f>D30*E30/100</f>
      </c>
      <c r="G30" s="23">
        <f>B30*'Inputs'!$B$12*(1+'Inputs'!$B$13)^(A30-1)</f>
      </c>
      <c r="H30" s="23">
        <f>F30-G30</f>
      </c>
      <c r="I30" s="23">
        <f>C30*H30/'Inputs'!$B$17</f>
      </c>
      <c r="J30" s="22">
        <f>1/(1+'Inputs'!$B$15)^A30</f>
      </c>
      <c r="K30" s="23">
        <f>I30*J30</f>
      </c>
      <c r="L30" s="23">
        <f>P29</f>
      </c>
      <c r="M30" s="23">
        <f>C30*L30*'Inputs'!$B$15</f>
      </c>
      <c r="N30" s="23">
        <f>I30*Summary!$B$8</f>
      </c>
      <c r="O30" s="23">
        <f>N30-M30</f>
      </c>
      <c r="P30" s="23">
        <f>L30-O30</f>
      </c>
      <c r="Q30" s="24">
        <f>IF(N30&gt;0,H30/N30,"")</f>
      </c>
      <c r="R30" s="23">
        <f>N31*'Inputs'!$B$21/12</f>
      </c>
      <c r="S30" s="23">
        <f>H30</f>
      </c>
      <c r="T30" s="23">
        <f>H30-N30</f>
      </c>
      <c r="U30" s="23">
        <f>U29+S30</f>
      </c>
      <c r="V30" s="25">
        <f>IF(AND(U29&lt;0,U30&gt;=0),A29-U29/S30,0)</f>
      </c>
    </row>
    <row r="31" spans="1:22" x14ac:dyDescent="0.25">
      <c r="A31">
        <v>26</v>
      </c>
      <c r="B31" s="20">
        <f>IF(AND(A31&gt;=1,A31&lt;='Inputs'!$B$14),1,0)</f>
      </c>
      <c r="C31" s="20">
        <f>IF(AND(A31&gt;=1,A31&lt;='Inputs'!$B$16),1,0)</f>
      </c>
      <c r="D31" s="21">
        <f>B31*'Inputs'!$B$25*(1-'Inputs'!$B$8)^(A31-1)</f>
      </c>
      <c r="E31" s="22">
        <f>B31*'Inputs'!$B$9*(1+'Inputs'!$B$10)^(A31-1)</f>
      </c>
      <c r="F31" s="23">
        <f>D31*E31/100</f>
      </c>
      <c r="G31" s="23">
        <f>B31*'Inputs'!$B$12*(1+'Inputs'!$B$13)^(A31-1)</f>
      </c>
      <c r="H31" s="23">
        <f>F31-G31</f>
      </c>
      <c r="I31" s="23">
        <f>C31*H31/'Inputs'!$B$17</f>
      </c>
      <c r="J31" s="22">
        <f>1/(1+'Inputs'!$B$15)^A31</f>
      </c>
      <c r="K31" s="23">
        <f>I31*J31</f>
      </c>
      <c r="L31" s="23">
        <f>P30</f>
      </c>
      <c r="M31" s="23">
        <f>C31*L31*'Inputs'!$B$15</f>
      </c>
      <c r="N31" s="23">
        <f>I31*Summary!$B$8</f>
      </c>
      <c r="O31" s="23">
        <f>N31-M31</f>
      </c>
      <c r="P31" s="23">
        <f>L31-O31</f>
      </c>
      <c r="Q31" s="24">
        <f>IF(N31&gt;0,H31/N31,"")</f>
      </c>
      <c r="R31" s="23">
        <f>N32*'Inputs'!$B$21/12</f>
      </c>
      <c r="S31" s="23">
        <f>H31</f>
      </c>
      <c r="T31" s="23">
        <f>H31-N31</f>
      </c>
      <c r="U31" s="23">
        <f>U30+S31</f>
      </c>
      <c r="V31" s="25">
        <f>IF(AND(U30&lt;0,U31&gt;=0),A30-U30/S31,0)</f>
      </c>
    </row>
    <row r="32" spans="1:22" x14ac:dyDescent="0.25">
      <c r="A32">
        <v>27</v>
      </c>
      <c r="B32" s="20">
        <f>IF(AND(A32&gt;=1,A32&lt;='Inputs'!$B$14),1,0)</f>
      </c>
      <c r="C32" s="20">
        <f>IF(AND(A32&gt;=1,A32&lt;='Inputs'!$B$16),1,0)</f>
      </c>
      <c r="D32" s="21">
        <f>B32*'Inputs'!$B$25*(1-'Inputs'!$B$8)^(A32-1)</f>
      </c>
      <c r="E32" s="22">
        <f>B32*'Inputs'!$B$9*(1+'Inputs'!$B$10)^(A32-1)</f>
      </c>
      <c r="F32" s="23">
        <f>D32*E32/100</f>
      </c>
      <c r="G32" s="23">
        <f>B32*'Inputs'!$B$12*(1+'Inputs'!$B$13)^(A32-1)</f>
      </c>
      <c r="H32" s="23">
        <f>F32-G32</f>
      </c>
      <c r="I32" s="23">
        <f>C32*H32/'Inputs'!$B$17</f>
      </c>
      <c r="J32" s="22">
        <f>1/(1+'Inputs'!$B$15)^A32</f>
      </c>
      <c r="K32" s="23">
        <f>I32*J32</f>
      </c>
      <c r="L32" s="23">
        <f>P31</f>
      </c>
      <c r="M32" s="23">
        <f>C32*L32*'Inputs'!$B$15</f>
      </c>
      <c r="N32" s="23">
        <f>I32*Summary!$B$8</f>
      </c>
      <c r="O32" s="23">
        <f>N32-M32</f>
      </c>
      <c r="P32" s="23">
        <f>L32-O32</f>
      </c>
      <c r="Q32" s="24">
        <f>IF(N32&gt;0,H32/N32,"")</f>
      </c>
      <c r="R32" s="23">
        <f>N33*'Inputs'!$B$21/12</f>
      </c>
      <c r="S32" s="23">
        <f>H32</f>
      </c>
      <c r="T32" s="23">
        <f>H32-N32</f>
      </c>
      <c r="U32" s="23">
        <f>U31+S32</f>
      </c>
      <c r="V32" s="25">
        <f>IF(AND(U31&lt;0,U32&gt;=0),A31-U31/S32,0)</f>
      </c>
    </row>
    <row r="33" spans="1:22" x14ac:dyDescent="0.25">
      <c r="A33">
        <v>28</v>
      </c>
      <c r="B33" s="20">
        <f>IF(AND(A33&gt;=1,A33&lt;='Inputs'!$B$14),1,0)</f>
      </c>
      <c r="C33" s="20">
        <f>IF(AND(A33&gt;=1,A33&lt;='Inputs'!$B$16),1,0)</f>
      </c>
      <c r="D33" s="21">
        <f>B33*'Inputs'!$B$25*(1-'Inputs'!$B$8)^(A33-1)</f>
      </c>
      <c r="E33" s="22">
        <f>B33*'Inputs'!$B$9*(1+'Inputs'!$B$10)^(A33-1)</f>
      </c>
      <c r="F33" s="23">
        <f>D33*E33/100</f>
      </c>
      <c r="G33" s="23">
        <f>B33*'Inputs'!$B$12*(1+'Inputs'!$B$13)^(A33-1)</f>
      </c>
      <c r="H33" s="23">
        <f>F33-G33</f>
      </c>
      <c r="I33" s="23">
        <f>C33*H33/'Inputs'!$B$17</f>
      </c>
      <c r="J33" s="22">
        <f>1/(1+'Inputs'!$B$15)^A33</f>
      </c>
      <c r="K33" s="23">
        <f>I33*J33</f>
      </c>
      <c r="L33" s="23">
        <f>P32</f>
      </c>
      <c r="M33" s="23">
        <f>C33*L33*'Inputs'!$B$15</f>
      </c>
      <c r="N33" s="23">
        <f>I33*Summary!$B$8</f>
      </c>
      <c r="O33" s="23">
        <f>N33-M33</f>
      </c>
      <c r="P33" s="23">
        <f>L33-O33</f>
      </c>
      <c r="Q33" s="24">
        <f>IF(N33&gt;0,H33/N33,"")</f>
      </c>
      <c r="R33" s="23">
        <f>N34*'Inputs'!$B$21/12</f>
      </c>
      <c r="S33" s="23">
        <f>H33</f>
      </c>
      <c r="T33" s="23">
        <f>H33-N33</f>
      </c>
      <c r="U33" s="23">
        <f>U32+S33</f>
      </c>
      <c r="V33" s="25">
        <f>IF(AND(U32&lt;0,U33&gt;=0),A32-U32/S33,0)</f>
      </c>
    </row>
    <row r="34" spans="1:22" x14ac:dyDescent="0.25">
      <c r="A34">
        <v>29</v>
      </c>
      <c r="B34" s="20">
        <f>IF(AND(A34&gt;=1,A34&lt;='Inputs'!$B$14),1,0)</f>
      </c>
      <c r="C34" s="20">
        <f>IF(AND(A34&gt;=1,A34&lt;='Inputs'!$B$16),1,0)</f>
      </c>
      <c r="D34" s="21">
        <f>B34*'Inputs'!$B$25*(1-'Inputs'!$B$8)^(A34-1)</f>
      </c>
      <c r="E34" s="22">
        <f>B34*'Inputs'!$B$9*(1+'Inputs'!$B$10)^(A34-1)</f>
      </c>
      <c r="F34" s="23">
        <f>D34*E34/100</f>
      </c>
      <c r="G34" s="23">
        <f>B34*'Inputs'!$B$12*(1+'Inputs'!$B$13)^(A34-1)</f>
      </c>
      <c r="H34" s="23">
        <f>F34-G34</f>
      </c>
      <c r="I34" s="23">
        <f>C34*H34/'Inputs'!$B$17</f>
      </c>
      <c r="J34" s="22">
        <f>1/(1+'Inputs'!$B$15)^A34</f>
      </c>
      <c r="K34" s="23">
        <f>I34*J34</f>
      </c>
      <c r="L34" s="23">
        <f>P33</f>
      </c>
      <c r="M34" s="23">
        <f>C34*L34*'Inputs'!$B$15</f>
      </c>
      <c r="N34" s="23">
        <f>I34*Summary!$B$8</f>
      </c>
      <c r="O34" s="23">
        <f>N34-M34</f>
      </c>
      <c r="P34" s="23">
        <f>L34-O34</f>
      </c>
      <c r="Q34" s="24">
        <f>IF(N34&gt;0,H34/N34,"")</f>
      </c>
      <c r="R34" s="23">
        <f>N35*'Inputs'!$B$21/12</f>
      </c>
      <c r="S34" s="23">
        <f>H34</f>
      </c>
      <c r="T34" s="23">
        <f>H34-N34</f>
      </c>
      <c r="U34" s="23">
        <f>U33+S34</f>
      </c>
      <c r="V34" s="25">
        <f>IF(AND(U33&lt;0,U34&gt;=0),A33-U33/S34,0)</f>
      </c>
    </row>
    <row r="35" spans="1:22" x14ac:dyDescent="0.25">
      <c r="A35">
        <v>30</v>
      </c>
      <c r="B35" s="20">
        <f>IF(AND(A35&gt;=1,A35&lt;='Inputs'!$B$14),1,0)</f>
      </c>
      <c r="C35" s="20">
        <f>IF(AND(A35&gt;=1,A35&lt;='Inputs'!$B$16),1,0)</f>
      </c>
      <c r="D35" s="21">
        <f>B35*'Inputs'!$B$25*(1-'Inputs'!$B$8)^(A35-1)</f>
      </c>
      <c r="E35" s="22">
        <f>B35*'Inputs'!$B$9*(1+'Inputs'!$B$10)^(A35-1)</f>
      </c>
      <c r="F35" s="23">
        <f>D35*E35/100</f>
      </c>
      <c r="G35" s="23">
        <f>B35*'Inputs'!$B$12*(1+'Inputs'!$B$13)^(A35-1)</f>
      </c>
      <c r="H35" s="23">
        <f>F35-G35</f>
      </c>
      <c r="I35" s="23">
        <f>C35*H35/'Inputs'!$B$17</f>
      </c>
      <c r="J35" s="22">
        <f>1/(1+'Inputs'!$B$15)^A35</f>
      </c>
      <c r="K35" s="23">
        <f>I35*J35</f>
      </c>
      <c r="L35" s="23">
        <f>P34</f>
      </c>
      <c r="M35" s="23">
        <f>C35*L35*'Inputs'!$B$15</f>
      </c>
      <c r="N35" s="23">
        <f>I35*Summary!$B$8</f>
      </c>
      <c r="O35" s="23">
        <f>N35-M35</f>
      </c>
      <c r="P35" s="23">
        <f>L35-O35</f>
      </c>
      <c r="Q35" s="24">
        <f>IF(N35&gt;0,H35/N35,"")</f>
      </c>
      <c r="R35" s="23">
        <f>N36*'Inputs'!$B$21/12</f>
      </c>
      <c r="S35" s="23">
        <f>H35</f>
      </c>
      <c r="T35" s="23">
        <f>H35-N35</f>
      </c>
      <c r="U35" s="23">
        <f>U34+S35</f>
      </c>
      <c r="V35" s="25">
        <f>IF(AND(U34&lt;0,U35&gt;=0),A34-U34/S35,0)</f>
      </c>
    </row>
    <row r="36" spans="1:22" x14ac:dyDescent="0.25">
      <c r="A36">
        <v>31</v>
      </c>
      <c r="B36" s="20">
        <f>IF(AND(A36&gt;=1,A36&lt;='Inputs'!$B$14),1,0)</f>
      </c>
      <c r="C36" s="20">
        <f>IF(AND(A36&gt;=1,A36&lt;='Inputs'!$B$16),1,0)</f>
      </c>
      <c r="D36" s="21">
        <f>B36*'Inputs'!$B$25*(1-'Inputs'!$B$8)^(A36-1)</f>
      </c>
      <c r="E36" s="22">
        <f>B36*'Inputs'!$B$9*(1+'Inputs'!$B$10)^(A36-1)</f>
      </c>
      <c r="F36" s="23">
        <f>D36*E36/100</f>
      </c>
      <c r="G36" s="23">
        <f>B36*'Inputs'!$B$12*(1+'Inputs'!$B$13)^(A36-1)</f>
      </c>
      <c r="H36" s="23">
        <f>F36-G36</f>
      </c>
      <c r="I36" s="23">
        <f>C36*H36/'Inputs'!$B$17</f>
      </c>
      <c r="J36" s="22">
        <f>1/(1+'Inputs'!$B$15)^A36</f>
      </c>
      <c r="K36" s="23">
        <f>I36*J36</f>
      </c>
      <c r="L36" s="23">
        <f>P35</f>
      </c>
      <c r="M36" s="23">
        <f>C36*L36*'Inputs'!$B$15</f>
      </c>
      <c r="N36" s="23">
        <f>I36*Summary!$B$8</f>
      </c>
      <c r="O36" s="23">
        <f>N36-M36</f>
      </c>
      <c r="P36" s="23">
        <f>L36-O36</f>
      </c>
      <c r="Q36" s="24">
        <f>IF(N36&gt;0,H36/N36,"")</f>
      </c>
      <c r="R36" s="23">
        <f>N37*'Inputs'!$B$21/12</f>
      </c>
      <c r="S36" s="23">
        <f>H36</f>
      </c>
      <c r="T36" s="23">
        <f>H36-N36</f>
      </c>
      <c r="U36" s="23">
        <f>U35+S36</f>
      </c>
      <c r="V36" s="25">
        <f>IF(AND(U35&lt;0,U36&gt;=0),A35-U35/S36,0)</f>
      </c>
    </row>
    <row r="37" spans="1:22" x14ac:dyDescent="0.25">
      <c r="A37">
        <v>32</v>
      </c>
      <c r="B37" s="20">
        <f>IF(AND(A37&gt;=1,A37&lt;='Inputs'!$B$14),1,0)</f>
      </c>
      <c r="C37" s="20">
        <f>IF(AND(A37&gt;=1,A37&lt;='Inputs'!$B$16),1,0)</f>
      </c>
      <c r="D37" s="21">
        <f>B37*'Inputs'!$B$25*(1-'Inputs'!$B$8)^(A37-1)</f>
      </c>
      <c r="E37" s="22">
        <f>B37*'Inputs'!$B$9*(1+'Inputs'!$B$10)^(A37-1)</f>
      </c>
      <c r="F37" s="23">
        <f>D37*E37/100</f>
      </c>
      <c r="G37" s="23">
        <f>B37*'Inputs'!$B$12*(1+'Inputs'!$B$13)^(A37-1)</f>
      </c>
      <c r="H37" s="23">
        <f>F37-G37</f>
      </c>
      <c r="I37" s="23">
        <f>C37*H37/'Inputs'!$B$17</f>
      </c>
      <c r="J37" s="22">
        <f>1/(1+'Inputs'!$B$15)^A37</f>
      </c>
      <c r="K37" s="23">
        <f>I37*J37</f>
      </c>
      <c r="L37" s="23">
        <f>P36</f>
      </c>
      <c r="M37" s="23">
        <f>C37*L37*'Inputs'!$B$15</f>
      </c>
      <c r="N37" s="23">
        <f>I37*Summary!$B$8</f>
      </c>
      <c r="O37" s="23">
        <f>N37-M37</f>
      </c>
      <c r="P37" s="23">
        <f>L37-O37</f>
      </c>
      <c r="Q37" s="24">
        <f>IF(N37&gt;0,H37/N37,"")</f>
      </c>
      <c r="R37" s="23">
        <f>N38*'Inputs'!$B$21/12</f>
      </c>
      <c r="S37" s="23">
        <f>H37</f>
      </c>
      <c r="T37" s="23">
        <f>H37-N37</f>
      </c>
      <c r="U37" s="23">
        <f>U36+S37</f>
      </c>
      <c r="V37" s="25">
        <f>IF(AND(U36&lt;0,U37&gt;=0),A36-U36/S37,0)</f>
      </c>
    </row>
    <row r="38" spans="1:22" x14ac:dyDescent="0.25">
      <c r="A38">
        <v>33</v>
      </c>
      <c r="B38" s="20">
        <f>IF(AND(A38&gt;=1,A38&lt;='Inputs'!$B$14),1,0)</f>
      </c>
      <c r="C38" s="20">
        <f>IF(AND(A38&gt;=1,A38&lt;='Inputs'!$B$16),1,0)</f>
      </c>
      <c r="D38" s="21">
        <f>B38*'Inputs'!$B$25*(1-'Inputs'!$B$8)^(A38-1)</f>
      </c>
      <c r="E38" s="22">
        <f>B38*'Inputs'!$B$9*(1+'Inputs'!$B$10)^(A38-1)</f>
      </c>
      <c r="F38" s="23">
        <f>D38*E38/100</f>
      </c>
      <c r="G38" s="23">
        <f>B38*'Inputs'!$B$12*(1+'Inputs'!$B$13)^(A38-1)</f>
      </c>
      <c r="H38" s="23">
        <f>F38-G38</f>
      </c>
      <c r="I38" s="23">
        <f>C38*H38/'Inputs'!$B$17</f>
      </c>
      <c r="J38" s="22">
        <f>1/(1+'Inputs'!$B$15)^A38</f>
      </c>
      <c r="K38" s="23">
        <f>I38*J38</f>
      </c>
      <c r="L38" s="23">
        <f>P37</f>
      </c>
      <c r="M38" s="23">
        <f>C38*L38*'Inputs'!$B$15</f>
      </c>
      <c r="N38" s="23">
        <f>I38*Summary!$B$8</f>
      </c>
      <c r="O38" s="23">
        <f>N38-M38</f>
      </c>
      <c r="P38" s="23">
        <f>L38-O38</f>
      </c>
      <c r="Q38" s="24">
        <f>IF(N38&gt;0,H38/N38,"")</f>
      </c>
      <c r="R38" s="23">
        <f>N39*'Inputs'!$B$21/12</f>
      </c>
      <c r="S38" s="23">
        <f>H38</f>
      </c>
      <c r="T38" s="23">
        <f>H38-N38</f>
      </c>
      <c r="U38" s="23">
        <f>U37+S38</f>
      </c>
      <c r="V38" s="25">
        <f>IF(AND(U37&lt;0,U38&gt;=0),A37-U37/S38,0)</f>
      </c>
    </row>
    <row r="39" spans="1:22" x14ac:dyDescent="0.25">
      <c r="A39">
        <v>34</v>
      </c>
      <c r="B39" s="20">
        <f>IF(AND(A39&gt;=1,A39&lt;='Inputs'!$B$14),1,0)</f>
      </c>
      <c r="C39" s="20">
        <f>IF(AND(A39&gt;=1,A39&lt;='Inputs'!$B$16),1,0)</f>
      </c>
      <c r="D39" s="21">
        <f>B39*'Inputs'!$B$25*(1-'Inputs'!$B$8)^(A39-1)</f>
      </c>
      <c r="E39" s="22">
        <f>B39*'Inputs'!$B$9*(1+'Inputs'!$B$10)^(A39-1)</f>
      </c>
      <c r="F39" s="23">
        <f>D39*E39/100</f>
      </c>
      <c r="G39" s="23">
        <f>B39*'Inputs'!$B$12*(1+'Inputs'!$B$13)^(A39-1)</f>
      </c>
      <c r="H39" s="23">
        <f>F39-G39</f>
      </c>
      <c r="I39" s="23">
        <f>C39*H39/'Inputs'!$B$17</f>
      </c>
      <c r="J39" s="22">
        <f>1/(1+'Inputs'!$B$15)^A39</f>
      </c>
      <c r="K39" s="23">
        <f>I39*J39</f>
      </c>
      <c r="L39" s="23">
        <f>P38</f>
      </c>
      <c r="M39" s="23">
        <f>C39*L39*'Inputs'!$B$15</f>
      </c>
      <c r="N39" s="23">
        <f>I39*Summary!$B$8</f>
      </c>
      <c r="O39" s="23">
        <f>N39-M39</f>
      </c>
      <c r="P39" s="23">
        <f>L39-O39</f>
      </c>
      <c r="Q39" s="24">
        <f>IF(N39&gt;0,H39/N39,"")</f>
      </c>
      <c r="R39" s="23">
        <f>N40*'Inputs'!$B$21/12</f>
      </c>
      <c r="S39" s="23">
        <f>H39</f>
      </c>
      <c r="T39" s="23">
        <f>H39-N39</f>
      </c>
      <c r="U39" s="23">
        <f>U38+S39</f>
      </c>
      <c r="V39" s="25">
        <f>IF(AND(U38&lt;0,U39&gt;=0),A38-U38/S39,0)</f>
      </c>
    </row>
    <row r="40" spans="1:22" x14ac:dyDescent="0.25">
      <c r="A40">
        <v>35</v>
      </c>
      <c r="B40" s="20">
        <f>IF(AND(A40&gt;=1,A40&lt;='Inputs'!$B$14),1,0)</f>
      </c>
      <c r="C40" s="20">
        <f>IF(AND(A40&gt;=1,A40&lt;='Inputs'!$B$16),1,0)</f>
      </c>
      <c r="D40" s="21">
        <f>B40*'Inputs'!$B$25*(1-'Inputs'!$B$8)^(A40-1)</f>
      </c>
      <c r="E40" s="22">
        <f>B40*'Inputs'!$B$9*(1+'Inputs'!$B$10)^(A40-1)</f>
      </c>
      <c r="F40" s="23">
        <f>D40*E40/100</f>
      </c>
      <c r="G40" s="23">
        <f>B40*'Inputs'!$B$12*(1+'Inputs'!$B$13)^(A40-1)</f>
      </c>
      <c r="H40" s="23">
        <f>F40-G40</f>
      </c>
      <c r="I40" s="23">
        <f>C40*H40/'Inputs'!$B$17</f>
      </c>
      <c r="J40" s="22">
        <f>1/(1+'Inputs'!$B$15)^A40</f>
      </c>
      <c r="K40" s="23">
        <f>I40*J40</f>
      </c>
      <c r="L40" s="23">
        <f>P39</f>
      </c>
      <c r="M40" s="23">
        <f>C40*L40*'Inputs'!$B$15</f>
      </c>
      <c r="N40" s="23">
        <f>I40*Summary!$B$8</f>
      </c>
      <c r="O40" s="23">
        <f>N40-M40</f>
      </c>
      <c r="P40" s="23">
        <f>L40-O40</f>
      </c>
      <c r="Q40" s="24">
        <f>IF(N40&gt;0,H40/N40,"")</f>
      </c>
      <c r="R40" s="23">
        <f>N41*'Inputs'!$B$21/12</f>
      </c>
      <c r="S40" s="23">
        <f>H40</f>
      </c>
      <c r="T40" s="23">
        <f>H40-N40</f>
      </c>
      <c r="U40" s="23">
        <f>U39+S40</f>
      </c>
      <c r="V40" s="25">
        <f>IF(AND(U39&lt;0,U40&gt;=0),A39-U39/S40,0)</f>
      </c>
    </row>
    <row r="41" spans="1:22" x14ac:dyDescent="0.25">
      <c r="A41">
        <v>36</v>
      </c>
      <c r="B41" s="20">
        <f>IF(AND(A41&gt;=1,A41&lt;='Inputs'!$B$14),1,0)</f>
      </c>
      <c r="C41" s="20">
        <f>IF(AND(A41&gt;=1,A41&lt;='Inputs'!$B$16),1,0)</f>
      </c>
      <c r="D41" s="21">
        <f>B41*'Inputs'!$B$25*(1-'Inputs'!$B$8)^(A41-1)</f>
      </c>
      <c r="E41" s="22">
        <f>B41*'Inputs'!$B$9*(1+'Inputs'!$B$10)^(A41-1)</f>
      </c>
      <c r="F41" s="23">
        <f>D41*E41/100</f>
      </c>
      <c r="G41" s="23">
        <f>B41*'Inputs'!$B$12*(1+'Inputs'!$B$13)^(A41-1)</f>
      </c>
      <c r="H41" s="23">
        <f>F41-G41</f>
      </c>
      <c r="I41" s="23">
        <f>C41*H41/'Inputs'!$B$17</f>
      </c>
      <c r="J41" s="22">
        <f>1/(1+'Inputs'!$B$15)^A41</f>
      </c>
      <c r="K41" s="23">
        <f>I41*J41</f>
      </c>
      <c r="L41" s="23">
        <f>P40</f>
      </c>
      <c r="M41" s="23">
        <f>C41*L41*'Inputs'!$B$15</f>
      </c>
      <c r="N41" s="23">
        <f>I41*Summary!$B$8</f>
      </c>
      <c r="O41" s="23">
        <f>N41-M41</f>
      </c>
      <c r="P41" s="23">
        <f>L41-O41</f>
      </c>
      <c r="Q41" s="24">
        <f>IF(N41&gt;0,H41/N41,"")</f>
      </c>
      <c r="R41" s="23">
        <f>N42*'Inputs'!$B$21/12</f>
      </c>
      <c r="S41" s="23">
        <f>H41</f>
      </c>
      <c r="T41" s="23">
        <f>H41-N41</f>
      </c>
      <c r="U41" s="23">
        <f>U40+S41</f>
      </c>
      <c r="V41" s="25">
        <f>IF(AND(U40&lt;0,U41&gt;=0),A40-U40/S41,0)</f>
      </c>
    </row>
    <row r="42" spans="1:22" x14ac:dyDescent="0.25">
      <c r="A42">
        <v>37</v>
      </c>
      <c r="B42" s="20">
        <f>IF(AND(A42&gt;=1,A42&lt;='Inputs'!$B$14),1,0)</f>
      </c>
      <c r="C42" s="20">
        <f>IF(AND(A42&gt;=1,A42&lt;='Inputs'!$B$16),1,0)</f>
      </c>
      <c r="D42" s="21">
        <f>B42*'Inputs'!$B$25*(1-'Inputs'!$B$8)^(A42-1)</f>
      </c>
      <c r="E42" s="22">
        <f>B42*'Inputs'!$B$9*(1+'Inputs'!$B$10)^(A42-1)</f>
      </c>
      <c r="F42" s="23">
        <f>D42*E42/100</f>
      </c>
      <c r="G42" s="23">
        <f>B42*'Inputs'!$B$12*(1+'Inputs'!$B$13)^(A42-1)</f>
      </c>
      <c r="H42" s="23">
        <f>F42-G42</f>
      </c>
      <c r="I42" s="23">
        <f>C42*H42/'Inputs'!$B$17</f>
      </c>
      <c r="J42" s="22">
        <f>1/(1+'Inputs'!$B$15)^A42</f>
      </c>
      <c r="K42" s="23">
        <f>I42*J42</f>
      </c>
      <c r="L42" s="23">
        <f>P41</f>
      </c>
      <c r="M42" s="23">
        <f>C42*L42*'Inputs'!$B$15</f>
      </c>
      <c r="N42" s="23">
        <f>I42*Summary!$B$8</f>
      </c>
      <c r="O42" s="23">
        <f>N42-M42</f>
      </c>
      <c r="P42" s="23">
        <f>L42-O42</f>
      </c>
      <c r="Q42" s="24">
        <f>IF(N42&gt;0,H42/N42,"")</f>
      </c>
      <c r="R42" s="23">
        <f>N43*'Inputs'!$B$21/12</f>
      </c>
      <c r="S42" s="23">
        <f>H42</f>
      </c>
      <c r="T42" s="23">
        <f>H42-N42</f>
      </c>
      <c r="U42" s="23">
        <f>U41+S42</f>
      </c>
      <c r="V42" s="25">
        <f>IF(AND(U41&lt;0,U42&gt;=0),A41-U41/S42,0)</f>
      </c>
    </row>
    <row r="43" spans="1:22" x14ac:dyDescent="0.25">
      <c r="A43">
        <v>38</v>
      </c>
      <c r="B43" s="20">
        <f>IF(AND(A43&gt;=1,A43&lt;='Inputs'!$B$14),1,0)</f>
      </c>
      <c r="C43" s="20">
        <f>IF(AND(A43&gt;=1,A43&lt;='Inputs'!$B$16),1,0)</f>
      </c>
      <c r="D43" s="21">
        <f>B43*'Inputs'!$B$25*(1-'Inputs'!$B$8)^(A43-1)</f>
      </c>
      <c r="E43" s="22">
        <f>B43*'Inputs'!$B$9*(1+'Inputs'!$B$10)^(A43-1)</f>
      </c>
      <c r="F43" s="23">
        <f>D43*E43/100</f>
      </c>
      <c r="G43" s="23">
        <f>B43*'Inputs'!$B$12*(1+'Inputs'!$B$13)^(A43-1)</f>
      </c>
      <c r="H43" s="23">
        <f>F43-G43</f>
      </c>
      <c r="I43" s="23">
        <f>C43*H43/'Inputs'!$B$17</f>
      </c>
      <c r="J43" s="22">
        <f>1/(1+'Inputs'!$B$15)^A43</f>
      </c>
      <c r="K43" s="23">
        <f>I43*J43</f>
      </c>
      <c r="L43" s="23">
        <f>P42</f>
      </c>
      <c r="M43" s="23">
        <f>C43*L43*'Inputs'!$B$15</f>
      </c>
      <c r="N43" s="23">
        <f>I43*Summary!$B$8</f>
      </c>
      <c r="O43" s="23">
        <f>N43-M43</f>
      </c>
      <c r="P43" s="23">
        <f>L43-O43</f>
      </c>
      <c r="Q43" s="24">
        <f>IF(N43&gt;0,H43/N43,"")</f>
      </c>
      <c r="R43" s="23">
        <f>N44*'Inputs'!$B$21/12</f>
      </c>
      <c r="S43" s="23">
        <f>H43</f>
      </c>
      <c r="T43" s="23">
        <f>H43-N43</f>
      </c>
      <c r="U43" s="23">
        <f>U42+S43</f>
      </c>
      <c r="V43" s="25">
        <f>IF(AND(U42&lt;0,U43&gt;=0),A42-U42/S43,0)</f>
      </c>
    </row>
    <row r="44" spans="1:22" x14ac:dyDescent="0.25">
      <c r="A44">
        <v>39</v>
      </c>
      <c r="B44" s="20">
        <f>IF(AND(A44&gt;=1,A44&lt;='Inputs'!$B$14),1,0)</f>
      </c>
      <c r="C44" s="20">
        <f>IF(AND(A44&gt;=1,A44&lt;='Inputs'!$B$16),1,0)</f>
      </c>
      <c r="D44" s="21">
        <f>B44*'Inputs'!$B$25*(1-'Inputs'!$B$8)^(A44-1)</f>
      </c>
      <c r="E44" s="22">
        <f>B44*'Inputs'!$B$9*(1+'Inputs'!$B$10)^(A44-1)</f>
      </c>
      <c r="F44" s="23">
        <f>D44*E44/100</f>
      </c>
      <c r="G44" s="23">
        <f>B44*'Inputs'!$B$12*(1+'Inputs'!$B$13)^(A44-1)</f>
      </c>
      <c r="H44" s="23">
        <f>F44-G44</f>
      </c>
      <c r="I44" s="23">
        <f>C44*H44/'Inputs'!$B$17</f>
      </c>
      <c r="J44" s="22">
        <f>1/(1+'Inputs'!$B$15)^A44</f>
      </c>
      <c r="K44" s="23">
        <f>I44*J44</f>
      </c>
      <c r="L44" s="23">
        <f>P43</f>
      </c>
      <c r="M44" s="23">
        <f>C44*L44*'Inputs'!$B$15</f>
      </c>
      <c r="N44" s="23">
        <f>I44*Summary!$B$8</f>
      </c>
      <c r="O44" s="23">
        <f>N44-M44</f>
      </c>
      <c r="P44" s="23">
        <f>L44-O44</f>
      </c>
      <c r="Q44" s="24">
        <f>IF(N44&gt;0,H44/N44,"")</f>
      </c>
      <c r="R44" s="23">
        <f>N45*'Inputs'!$B$21/12</f>
      </c>
      <c r="S44" s="23">
        <f>H44</f>
      </c>
      <c r="T44" s="23">
        <f>H44-N44</f>
      </c>
      <c r="U44" s="23">
        <f>U43+S44</f>
      </c>
      <c r="V44" s="25">
        <f>IF(AND(U43&lt;0,U44&gt;=0),A43-U43/S44,0)</f>
      </c>
    </row>
    <row r="45" spans="1:22" x14ac:dyDescent="0.25">
      <c r="A45">
        <v>40</v>
      </c>
      <c r="B45" s="20">
        <f>IF(AND(A45&gt;=1,A45&lt;='Inputs'!$B$14),1,0)</f>
      </c>
      <c r="C45" s="20">
        <f>IF(AND(A45&gt;=1,A45&lt;='Inputs'!$B$16),1,0)</f>
      </c>
      <c r="D45" s="21">
        <f>B45*'Inputs'!$B$25*(1-'Inputs'!$B$8)^(A45-1)</f>
      </c>
      <c r="E45" s="22">
        <f>B45*'Inputs'!$B$9*(1+'Inputs'!$B$10)^(A45-1)</f>
      </c>
      <c r="F45" s="23">
        <f>D45*E45/100</f>
      </c>
      <c r="G45" s="23">
        <f>B45*'Inputs'!$B$12*(1+'Inputs'!$B$13)^(A45-1)</f>
      </c>
      <c r="H45" s="23">
        <f>F45-G45</f>
      </c>
      <c r="I45" s="23">
        <f>C45*H45/'Inputs'!$B$17</f>
      </c>
      <c r="J45" s="22">
        <f>1/(1+'Inputs'!$B$15)^A45</f>
      </c>
      <c r="K45" s="23">
        <f>I45*J45</f>
      </c>
      <c r="L45" s="23">
        <f>P44</f>
      </c>
      <c r="M45" s="23">
        <f>C45*L45*'Inputs'!$B$15</f>
      </c>
      <c r="N45" s="23">
        <f>I45*Summary!$B$8</f>
      </c>
      <c r="O45" s="23">
        <f>N45-M45</f>
      </c>
      <c r="P45" s="23">
        <f>L45-O45</f>
      </c>
      <c r="Q45" s="24">
        <f>IF(N45&gt;0,H45/N45,"")</f>
      </c>
      <c r="R45" s="23">
        <f>0</f>
      </c>
      <c r="S45" s="23">
        <f>H45</f>
      </c>
      <c r="T45" s="23">
        <f>H45-N45</f>
      </c>
      <c r="U45" s="23">
        <f>U44+S45</f>
      </c>
      <c r="V45" s="25">
        <f>IF(AND(U44&lt;0,U45&gt;=0),A44-U44/S45,0)</f>
      </c>
    </row>
    <row r="46" spans="1:20" x14ac:dyDescent="0.25">
      <c r="A46" t="s">
        <v>89</v>
      </c>
      <c r="D46" s="18">
        <f>SUM(D6:D45)</f>
      </c>
      <c r="F46" s="18">
        <f>SUM(F6:F45)</f>
      </c>
      <c r="G46" s="18">
        <f>SUM(G6:G45)</f>
      </c>
      <c r="H46" s="18">
        <f>SUM(H6:H45)</f>
      </c>
      <c r="M46" s="18">
        <f>SUM(M6:M45)</f>
      </c>
      <c r="N46" s="18">
        <f>SUM(N6:N45)</f>
      </c>
      <c r="O46" s="18">
        <f>SUM(O6:O45)</f>
      </c>
      <c r="T46" s="18">
        <f>SUM(T6:T45)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48" customWidth="1"/>
    <col min="2" max="3" width="14" customWidth="1"/>
    <col min="4" max="4" width="70" customWidth="1"/>
  </cols>
  <sheetData>
    <row r="1" spans="1:1" x14ac:dyDescent="0.25">
      <c r="A1" s="6" t="s">
        <v>90</v>
      </c>
    </row>
    <row r="4" ht="32" customHeight="1" spans="1:4" x14ac:dyDescent="0.25">
      <c r="A4" s="8" t="s">
        <v>91</v>
      </c>
      <c r="B4" s="8" t="s">
        <v>20</v>
      </c>
      <c r="C4" s="8" t="s">
        <v>21</v>
      </c>
      <c r="D4" s="8" t="s">
        <v>61</v>
      </c>
    </row>
    <row r="5" spans="1:4" x14ac:dyDescent="0.25">
      <c r="A5" t="s">
        <v>92</v>
      </c>
      <c r="B5" s="18">
        <f>SUM(CashFlow!$K$5:$K$45)</f>
      </c>
      <c r="C5" t="s">
        <v>38</v>
      </c>
      <c r="D5" s="10" t="s">
        <v>25</v>
      </c>
    </row>
    <row r="6" spans="1:4" x14ac:dyDescent="0.25">
      <c r="A6" t="s">
        <v>93</v>
      </c>
      <c r="B6" s="18">
        <f>MIN(B5,'Inputs'!$B$18*'Inputs'!$B$11)</f>
      </c>
      <c r="C6" t="s">
        <v>38</v>
      </c>
      <c r="D6" s="10" t="s">
        <v>25</v>
      </c>
    </row>
    <row r="7" spans="1:4" x14ac:dyDescent="0.25">
      <c r="A7" t="s">
        <v>94</v>
      </c>
      <c r="B7" s="18">
        <f>'Inputs'!$B$18*'Inputs'!$B$11</f>
      </c>
      <c r="C7" t="s">
        <v>38</v>
      </c>
      <c r="D7" s="10" t="s">
        <v>25</v>
      </c>
    </row>
    <row r="8" spans="1:4" x14ac:dyDescent="0.25">
      <c r="A8" t="s">
        <v>95</v>
      </c>
      <c r="B8" s="26">
        <f>B6/B5</f>
      </c>
      <c r="C8" t="s">
        <v>96</v>
      </c>
      <c r="D8" s="10" t="s">
        <v>25</v>
      </c>
    </row>
    <row r="9" spans="1:4" x14ac:dyDescent="0.25">
      <c r="A9" t="s">
        <v>97</v>
      </c>
      <c r="B9" s="27">
        <f>IF(B5&lt;=B7,"DSCR (sculpting)","Gearing cap")</f>
      </c>
      <c r="C9" t="s">
        <v>25</v>
      </c>
      <c r="D9" s="10" t="s">
        <v>25</v>
      </c>
    </row>
    <row r="10" spans="1:4" x14ac:dyDescent="0.25">
      <c r="A10" t="s">
        <v>98</v>
      </c>
      <c r="B10" s="19">
        <f>B6/'Inputs'!$B$11</f>
      </c>
      <c r="C10" t="s">
        <v>53</v>
      </c>
      <c r="D10" s="10" t="s">
        <v>25</v>
      </c>
    </row>
    <row r="11" spans="1:4" x14ac:dyDescent="0.25">
      <c r="A11" t="s">
        <v>99</v>
      </c>
      <c r="B11" s="18">
        <f>'Inputs'!$B$11-B6</f>
      </c>
      <c r="C11" t="s">
        <v>38</v>
      </c>
      <c r="D11" s="10" t="s">
        <v>25</v>
      </c>
    </row>
    <row r="12" spans="1:4" x14ac:dyDescent="0.25">
      <c r="A12" t="s">
        <v>100</v>
      </c>
      <c r="B12" s="28">
        <f>SUM(CashFlow!$O$5:$O$45)-B6</f>
      </c>
      <c r="C12" t="s">
        <v>38</v>
      </c>
      <c r="D12" s="10" t="s">
        <v>101</v>
      </c>
    </row>
    <row r="14" ht="32" customHeight="1" spans="1:4" x14ac:dyDescent="0.25">
      <c r="A14" s="8" t="s">
        <v>102</v>
      </c>
      <c r="B14" s="8" t="s">
        <v>20</v>
      </c>
      <c r="C14" s="8" t="s">
        <v>21</v>
      </c>
      <c r="D14" s="8" t="s">
        <v>61</v>
      </c>
    </row>
    <row r="15" spans="1:4" x14ac:dyDescent="0.25">
      <c r="A15" t="s">
        <v>103</v>
      </c>
      <c r="B15" s="28">
        <f>MIN(CashFlow!$Q$5:$Q$45)</f>
      </c>
      <c r="C15" t="s">
        <v>50</v>
      </c>
      <c r="D15" s="10" t="s">
        <v>25</v>
      </c>
    </row>
    <row r="16" spans="1:4" x14ac:dyDescent="0.25">
      <c r="A16" t="s">
        <v>104</v>
      </c>
      <c r="B16" s="28">
        <f>AVERAGE(CashFlow!$Q$5:$Q$45)</f>
      </c>
      <c r="C16" t="s">
        <v>50</v>
      </c>
      <c r="D16" s="10" t="s">
        <v>25</v>
      </c>
    </row>
    <row r="17" spans="1:4" x14ac:dyDescent="0.25">
      <c r="A17" t="s">
        <v>105</v>
      </c>
      <c r="B17" s="28">
        <f>SUMPRODUCT(CashFlow!$H$5:$H$45*CashFlow!$C$5:$C$45,CashFlow!$J$5:$J$45)/B6</f>
      </c>
      <c r="C17" t="s">
        <v>50</v>
      </c>
      <c r="D17" s="10" t="s">
        <v>25</v>
      </c>
    </row>
    <row r="18" spans="1:4" x14ac:dyDescent="0.25">
      <c r="A18" t="s">
        <v>106</v>
      </c>
      <c r="B18" s="28">
        <f>SUMPRODUCT(CashFlow!$H$5:$H$45*CashFlow!$B$5:$B$45,CashFlow!$J$5:$J$45)/B6</f>
      </c>
      <c r="C18" t="s">
        <v>50</v>
      </c>
      <c r="D18" s="10" t="s">
        <v>25</v>
      </c>
    </row>
    <row r="19" spans="1:4" x14ac:dyDescent="0.25">
      <c r="A19" t="s">
        <v>107</v>
      </c>
      <c r="B19" s="18">
        <f>CashFlow!R5</f>
      </c>
      <c r="C19" t="s">
        <v>38</v>
      </c>
      <c r="D19" s="10" t="s">
        <v>25</v>
      </c>
    </row>
    <row r="21" ht="32" customHeight="1" spans="1:4" x14ac:dyDescent="0.25">
      <c r="A21" s="8" t="s">
        <v>108</v>
      </c>
      <c r="B21" s="8" t="s">
        <v>20</v>
      </c>
      <c r="C21" s="8" t="s">
        <v>21</v>
      </c>
      <c r="D21" s="8" t="s">
        <v>61</v>
      </c>
    </row>
    <row r="22" spans="1:4" x14ac:dyDescent="0.25">
      <c r="A22" t="s">
        <v>109</v>
      </c>
      <c r="B22" s="29">
        <f>IRR(CashFlow!$S$5:$S$45)</f>
      </c>
      <c r="C22" t="s">
        <v>53</v>
      </c>
      <c r="D22" s="10" t="s">
        <v>25</v>
      </c>
    </row>
    <row r="23" spans="1:4" x14ac:dyDescent="0.25">
      <c r="A23" t="s">
        <v>110</v>
      </c>
      <c r="B23" s="29">
        <f>IRR(CashFlow!$T$5:$T$45)</f>
      </c>
      <c r="C23" t="s">
        <v>53</v>
      </c>
      <c r="D23" s="10" t="s">
        <v>25</v>
      </c>
    </row>
    <row r="24" spans="1:4" x14ac:dyDescent="0.25">
      <c r="A24" t="s">
        <v>111</v>
      </c>
      <c r="B24" s="18">
        <f>CashFlow!S5+NPV('Inputs'!$B$20,CashFlow!S6:S45)</f>
      </c>
      <c r="C24" t="s">
        <v>38</v>
      </c>
      <c r="D24" s="10" t="s">
        <v>25</v>
      </c>
    </row>
    <row r="25" spans="1:4" x14ac:dyDescent="0.25">
      <c r="A25" t="s">
        <v>112</v>
      </c>
      <c r="B25" s="18">
        <f>CashFlow!T5+NPV('Inputs'!$B$19,CashFlow!T6:T45)</f>
      </c>
      <c r="C25" t="s">
        <v>38</v>
      </c>
      <c r="D25" s="10" t="s">
        <v>25</v>
      </c>
    </row>
    <row r="26" spans="1:4" x14ac:dyDescent="0.25">
      <c r="A26" t="s">
        <v>113</v>
      </c>
      <c r="B26" s="30">
        <f>SUM(CashFlow!$V$5:$V$45)</f>
      </c>
      <c r="C26" t="s">
        <v>43</v>
      </c>
      <c r="D26" s="10" t="s">
        <v>25</v>
      </c>
    </row>
    <row r="27" spans="1:4" x14ac:dyDescent="0.25">
      <c r="A27" t="s">
        <v>114</v>
      </c>
      <c r="B27" s="31">
        <f>CashFlow!F6</f>
      </c>
      <c r="C27" t="s">
        <v>38</v>
      </c>
      <c r="D27" s="10" t="s">
        <v>25</v>
      </c>
    </row>
    <row r="28" spans="1:4" x14ac:dyDescent="0.25">
      <c r="A28" t="s">
        <v>115</v>
      </c>
      <c r="B28" s="31">
        <f>CashFlow!H6</f>
      </c>
      <c r="C28" t="s">
        <v>38</v>
      </c>
      <c r="D28" s="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Inputs</vt:lpstr>
      <vt:lpstr>CashFlow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MEWRE PM Learning Platform (Module 10)</dc:creator>
  <dc:title>Project finance model — PV IPP</dc:title>
  <dc:subject/>
  <dc:description/>
  <cp:keywords/>
  <cp:category/>
  <cp:lastModifiedBy>Unknown</cp:lastModifiedBy>
  <dcterms:created xsi:type="dcterms:W3CDTF">2026-10-19T00:00:00Z</dcterms:created>
  <dcterms:modified xsi:type="dcterms:W3CDTF">2026-10-19T11:14:25Z</dcterms:modified>
</cp:coreProperties>
</file>