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puts" state="visible" r:id="rId5"/>
    <sheet sheetId="3" name="Monthly" state="visible" r:id="rId6"/>
    <sheet sheetId="4" name="Status" state="visible" r:id="rId7"/>
    <sheet sheetId="5" name="Guidance" state="visible" r:id="rId8"/>
  </sheets>
  <calcPr calcId="171027" fullCalcOnLoad="1"/>
</workbook>
</file>

<file path=xl/sharedStrings.xml><?xml version="1.0" encoding="utf-8"?>
<sst xmlns="http://schemas.openxmlformats.org/spreadsheetml/2006/main" count="95" uniqueCount="74">
  <si>
    <t>Earned value tracker — monthly (Module 10, Lesson 6; Module 8 EVM)</t>
  </si>
  <si>
    <t>Yellow cells with blue bold text = INPUTS you may change.</t>
  </si>
  <si>
    <t>Green cells = key RESULTS (formulas — do not overwrite).</t>
  </si>
  <si>
    <t>WHAT THIS MODEL DOES</t>
  </si>
  <si>
    <t>Tracks a contract or programme budget monthly with earned value management: PV (planned value), EV (earned value) and AC (actual cost) cumulative, and computes CV, SV, CPI, SPI, three EAC methods, ETC, VAC and TCPI. Example: a KWD 45.0 m grid-connection EPC package, 24 months, status at month 12.</t>
  </si>
  <si>
    <t>Sheets: Inputs (BAC, status month) -&gt; Monthly (enter planned % and cumulative EV and AC each month) -&gt; Status (dashboard at the status month) -&gt; Guidance.</t>
  </si>
  <si>
    <t>Owner-side caution: on a lump-sum FIDIC contract MEWRE's cost is the Contract Price plus variations and claims, not the contractor's internal cost. Use AC = amounts certified (or accrued) for the Employer's view, and keep a separate forecast of variations and claims (see cashflow-forecast.xlsx, Contingency sheet).</t>
  </si>
  <si>
    <t>EXERCISES</t>
  </si>
  <si>
    <t>1. Read the Status sheet at month 12: CPI 0.934, SPI 0.880. Which EAC method would you report to the Undersecretary, and why?</t>
  </si>
  <si>
    <t>2. Change the status month to 9. How have CPI and SPI trended? Is the trend or the point value more informative?</t>
  </si>
  <si>
    <t>3. Enter your own EV and AC for months 13–15 assuming the contractor recovers (CPI 0.95, SPI 0.95). Recompute TCPI.</t>
  </si>
  <si>
    <t>4. Plot PV, EV and AC (Insert &gt; Line chart on Monthly columns C, E, F) and annotate CV and SV at the status date.</t>
  </si>
  <si>
    <t>DISCLAIMER</t>
  </si>
  <si>
    <t>All numbers are ILLUSTRATIVE teaching values for a generic 1,100 MW PV IPP in Kuwait-like conditions. They are NOT the tariff, capex or terms of any real Shagaya / KAPP project (the Zone 1 tariff has not been published). Replace them with project data before using the model for any decision.</t>
  </si>
  <si>
    <t>Currency convention: USD for IPP economics, KWD for ministry budgets; assumed 1 KWD = 3.25 USD (change in Inputs where shown).</t>
  </si>
  <si>
    <t>Inputs — EVM tracker</t>
  </si>
  <si>
    <t>Input</t>
  </si>
  <si>
    <t>Value</t>
  </si>
  <si>
    <t>Unit</t>
  </si>
  <si>
    <t>Note / typical range</t>
  </si>
  <si>
    <t>Budget at completion (BAC)</t>
  </si>
  <si>
    <t>KWD m</t>
  </si>
  <si>
    <t/>
  </si>
  <si>
    <t>Status month</t>
  </si>
  <si>
    <t>month no.</t>
  </si>
  <si>
    <t>1–24</t>
  </si>
  <si>
    <t>Planned duration</t>
  </si>
  <si>
    <t>months</t>
  </si>
  <si>
    <t>Monthly EVM table</t>
  </si>
  <si>
    <t>Enter planned cumulative %, EV cumulative and AC cumulative (yellow). Leave EV/AC blank for future months.</t>
  </si>
  <si>
    <t>Month</t>
  </si>
  <si>
    <t>Planned cum. %</t>
  </si>
  <si>
    <t>PV cum. (KWD m)</t>
  </si>
  <si>
    <t>EV cum. % complete</t>
  </si>
  <si>
    <t>EV cum. (KWD m)</t>
  </si>
  <si>
    <t>AC cum. (KWD m)</t>
  </si>
  <si>
    <t>CV = EV-AC</t>
  </si>
  <si>
    <t>SV = EV-PV</t>
  </si>
  <si>
    <t>CPI = EV/AC</t>
  </si>
  <si>
    <t>SPI = EV/PV</t>
  </si>
  <si>
    <t>EAC1 = BAC/CPI</t>
  </si>
  <si>
    <t>EAC2 = AC+(BAC-EV)</t>
  </si>
  <si>
    <t>EAC3 = AC+(BAC-EV)/(CPI*SPI)</t>
  </si>
  <si>
    <t>ETC = EAC1-AC</t>
  </si>
  <si>
    <t>VAC = BAC-EAC1</t>
  </si>
  <si>
    <t>TCPI = (BAC-EV)/(BAC-AC)</t>
  </si>
  <si>
    <t>Status at the selected month</t>
  </si>
  <si>
    <t>Indicator</t>
  </si>
  <si>
    <t>How it is calculated</t>
  </si>
  <si>
    <t>PV (planned value, cumulative)</t>
  </si>
  <si>
    <t>EV (earned value, cumulative)</t>
  </si>
  <si>
    <t>AC (actual cost, cumulative)</t>
  </si>
  <si>
    <t>Cost variance CV</t>
  </si>
  <si>
    <t>Negative = over cost for the work done</t>
  </si>
  <si>
    <t>Schedule variance SV</t>
  </si>
  <si>
    <t>Negative = behind plan (in money terms)</t>
  </si>
  <si>
    <t>CPI</t>
  </si>
  <si>
    <t>–</t>
  </si>
  <si>
    <t>&lt;0.95 sustained = escalate</t>
  </si>
  <si>
    <t>SPI</t>
  </si>
  <si>
    <t>SPI tends to 1.0 at the end even if late — use time-based SPI(t) or the CPM schedule as well</t>
  </si>
  <si>
    <t>EAC1 = BAC/CPI (typical)</t>
  </si>
  <si>
    <t>EAC2 = AC + (BAC-EV) (atypical, one-off)</t>
  </si>
  <si>
    <t>EAC3 = AC + (BAC-EV)/(CPI x SPI) (schedule pressure)</t>
  </si>
  <si>
    <t>TCPI (to complete within BAC)</t>
  </si>
  <si>
    <t>&gt;1.10 is rarely achieved in practice</t>
  </si>
  <si>
    <t>Flag</t>
  </si>
  <si>
    <t>GUIDANCE — reading EVM on a ministry project</t>
  </si>
  <si>
    <t>1. PV comes from the baseline programme (resource-loaded P6 schedule or the payment S-curve). Freeze it at contract award; re-baseline only through formal change control.</t>
  </si>
  <si>
    <t>2. EV must be measured, not estimated: use measured quantities x BoQ rates (remeasured contracts) or the agreed milestone/progress-weighting system (lump sum). Weighting rules belong in the contract's progress measurement procedure.</t>
  </si>
  <si>
    <t>3. AC for the Employer = certified IPC value (plus owner's costs if tracking a programme). For a contractor, AC = its own cost; never mix the two bases in one CPI.</t>
  </si>
  <si>
    <t>4. CPI &lt; 0.95 or SPI &lt; 0.95 for two consecutive months: ask for a recovery plan and update the cash-flow forecast and the budget request.</t>
  </si>
  <si>
    <t>5. EAC choice: BAC/CPI when the cause is systemic (productivity, rates); AC + (BAC-EV) when the overrun was a one-off (e.g. a single repaired foundation); CPI x SPI when the client is forcing acceleration.</t>
  </si>
  <si>
    <t>6. Report EAC with a range (best / most likely / worst) and connect it to contingency remaining. A single number invites false confidence.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</si>
</sst>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%"/>
    <numFmt numFmtId="166" formatCode="0.000"/>
  </numFmts>
  <fonts count="10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1F3864"/>
    </font>
    <font>
      <b/>
      <color rgb="FF1F3864"/>
      <sz val="14"/>
    </font>
    <font>
      <b/>
      <color rgb="FFFFFFFF"/>
    </font>
    <font>
      <b/>
      <color rgb="FF0000CC"/>
    </font>
    <font>
      <color rgb="FF595959"/>
    </font>
    <font>
      <i/>
      <color rgb="FF595959"/>
    </font>
    <font>
      <b/>
    </font>
    <font>
      <b/>
      <sz val="13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/>
    <xf numFmtId="0" fontId="6" fillId="0" borderId="0" xfId="0" applyFont="1"/>
    <xf numFmtId="1" fontId="5" fillId="2" borderId="1" xfId="0" applyNumberFormat="1" applyFont="1" applyFill="1" applyBorder="1"/>
    <xf numFmtId="0" fontId="7" fillId="0" borderId="0" xfId="0" applyFont="1"/>
    <xf numFmtId="10" fontId="5" fillId="2" borderId="1" xfId="0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5" fillId="2" borderId="1" xfId="0" applyFont="1" applyFill="1" applyBorder="1"/>
    <xf numFmtId="166" fontId="0" fillId="0" borderId="0" xfId="0" applyNumberFormat="1"/>
    <xf numFmtId="164" fontId="8" fillId="3" borderId="1" xfId="0" applyNumberFormat="1" applyFont="1" applyFill="1" applyBorder="1"/>
    <xf numFmtId="166" fontId="8" fillId="3" borderId="1" xfId="0" applyNumberFormat="1" applyFont="1" applyFill="1" applyBorder="1"/>
    <xf numFmtId="49" fontId="8" fillId="3" borderId="1" xfId="0" applyNumberFormat="1" applyFont="1" applyFill="1" applyBorder="1"/>
    <xf numFmtId="0" fontId="9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A17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6" spans="1:1" x14ac:dyDescent="0.25">
      <c r="A6" s="4" t="s">
        <v>3</v>
      </c>
    </row>
    <row r="7" spans="1:1" x14ac:dyDescent="0.25">
      <c r="A7" s="5" t="s">
        <v>4</v>
      </c>
    </row>
    <row r="8" spans="1:1" x14ac:dyDescent="0.25">
      <c r="A8" s="5" t="s">
        <v>5</v>
      </c>
    </row>
    <row r="9" spans="1:1" x14ac:dyDescent="0.25">
      <c r="A9" s="5" t="s">
        <v>6</v>
      </c>
    </row>
    <row r="10" spans="1:1" x14ac:dyDescent="0.25">
      <c r="A10" s="4" t="s">
        <v>7</v>
      </c>
    </row>
    <row r="11" spans="1:1" x14ac:dyDescent="0.25">
      <c r="A11" s="5" t="s">
        <v>8</v>
      </c>
    </row>
    <row r="12" spans="1:1" x14ac:dyDescent="0.25">
      <c r="A12" s="5" t="s">
        <v>9</v>
      </c>
    </row>
    <row r="13" spans="1:1" x14ac:dyDescent="0.25">
      <c r="A13" s="5" t="s">
        <v>10</v>
      </c>
    </row>
    <row r="14" spans="1:1" x14ac:dyDescent="0.25">
      <c r="A14" s="5" t="s">
        <v>11</v>
      </c>
    </row>
    <row r="15" spans="1:1" x14ac:dyDescent="0.25">
      <c r="A15" s="4" t="s">
        <v>12</v>
      </c>
    </row>
    <row r="16" spans="1:1" x14ac:dyDescent="0.25">
      <c r="A16" s="5" t="s">
        <v>13</v>
      </c>
    </row>
    <row r="17" spans="1:1" x14ac:dyDescent="0.25">
      <c r="A17" s="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40" customWidth="1"/>
    <col min="2" max="3" width="14" customWidth="1"/>
    <col min="4" max="4" width="60" customWidth="1"/>
  </cols>
  <sheetData>
    <row r="1" spans="1:1" x14ac:dyDescent="0.25">
      <c r="A1" s="6" t="s">
        <v>15</v>
      </c>
    </row>
    <row r="4" ht="32" customHeight="1" spans="1:4" x14ac:dyDescent="0.25">
      <c r="A4" s="7" t="s">
        <v>16</v>
      </c>
      <c r="B4" s="7" t="s">
        <v>17</v>
      </c>
      <c r="C4" s="7" t="s">
        <v>18</v>
      </c>
      <c r="D4" s="7" t="s">
        <v>19</v>
      </c>
    </row>
    <row r="5" spans="1:4" x14ac:dyDescent="0.25">
      <c r="A5" t="s">
        <v>20</v>
      </c>
      <c r="B5" s="8">
        <v>45</v>
      </c>
      <c r="C5" t="s">
        <v>21</v>
      </c>
      <c r="D5" s="9" t="s">
        <v>22</v>
      </c>
    </row>
    <row r="6" spans="1:4" x14ac:dyDescent="0.25">
      <c r="A6" t="s">
        <v>23</v>
      </c>
      <c r="B6" s="10">
        <v>12</v>
      </c>
      <c r="C6" t="s">
        <v>24</v>
      </c>
      <c r="D6" s="9" t="s">
        <v>25</v>
      </c>
    </row>
    <row r="7" spans="1:4" x14ac:dyDescent="0.25">
      <c r="A7" t="s">
        <v>26</v>
      </c>
      <c r="B7" s="10">
        <v>24</v>
      </c>
      <c r="C7" t="s">
        <v>27</v>
      </c>
      <c r="D7" s="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16" width="13" customWidth="1"/>
  </cols>
  <sheetData>
    <row r="1" spans="1:1" x14ac:dyDescent="0.25">
      <c r="A1" s="6" t="s">
        <v>28</v>
      </c>
    </row>
    <row r="2" spans="1:1" x14ac:dyDescent="0.25">
      <c r="A2" s="11" t="s">
        <v>29</v>
      </c>
    </row>
    <row r="4" ht="32" customHeight="1" spans="1:16" x14ac:dyDescent="0.25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40</v>
      </c>
      <c r="L4" s="7" t="s">
        <v>41</v>
      </c>
      <c r="M4" s="7" t="s">
        <v>42</v>
      </c>
      <c r="N4" s="7" t="s">
        <v>43</v>
      </c>
      <c r="O4" s="7" t="s">
        <v>44</v>
      </c>
      <c r="P4" s="7" t="s">
        <v>45</v>
      </c>
    </row>
    <row r="5" spans="1:16" x14ac:dyDescent="0.25">
      <c r="A5">
        <v>1</v>
      </c>
      <c r="B5" s="12">
        <v>0.0043</v>
      </c>
      <c r="C5" s="13">
        <f>B5*'Inputs'!$B$5</f>
      </c>
      <c r="D5" s="14">
        <f>IF(E5="","",E5/'Inputs'!$B$5)</f>
      </c>
      <c r="E5" s="15">
        <v>0.191</v>
      </c>
      <c r="F5" s="15">
        <v>0.192</v>
      </c>
      <c r="G5" s="13">
        <f>IF(E5="","",E5-F5)</f>
      </c>
      <c r="H5" s="13">
        <f>IF(E5="","",E5-C5)</f>
      </c>
      <c r="I5" s="16">
        <f>IF(E5="","",E5/F5)</f>
      </c>
      <c r="J5" s="16">
        <f>IF(E5="","",E5/C5)</f>
      </c>
      <c r="K5" s="13">
        <f>IF(E5="","",'Inputs'!$B$5/I5)</f>
      </c>
      <c r="L5" s="13">
        <f>IF(E5="","",F5+'Inputs'!$B$5-E5)</f>
      </c>
      <c r="M5" s="13">
        <f>IF(E5="","",F5+('Inputs'!$B$5-E5)/(I5*J5))</f>
      </c>
      <c r="N5" s="13">
        <f>IF(E5="","",K5-F5)</f>
      </c>
      <c r="O5" s="13">
        <f>IF(E5="","",'Inputs'!$B$5-K5)</f>
      </c>
      <c r="P5" s="16">
        <f>IF(E5="","",('Inputs'!$B$5-E5)/('Inputs'!$B$5-F5))</f>
      </c>
    </row>
    <row r="6" spans="1:16" x14ac:dyDescent="0.25">
      <c r="A6">
        <v>2</v>
      </c>
      <c r="B6" s="12">
        <v>0.017</v>
      </c>
      <c r="C6" s="13">
        <f>B6*'Inputs'!$B$5</f>
      </c>
      <c r="D6" s="14">
        <f>IF(E6="","",E6/'Inputs'!$B$5)</f>
      </c>
      <c r="E6" s="15">
        <v>0.751</v>
      </c>
      <c r="F6" s="15">
        <v>0.759</v>
      </c>
      <c r="G6" s="13">
        <f>IF(E6="","",E6-F6)</f>
      </c>
      <c r="H6" s="13">
        <f>IF(E6="","",E6-C6)</f>
      </c>
      <c r="I6" s="16">
        <f>IF(E6="","",E6/F6)</f>
      </c>
      <c r="J6" s="16">
        <f>IF(E6="","",E6/C6)</f>
      </c>
      <c r="K6" s="13">
        <f>IF(E6="","",'Inputs'!$B$5/I6)</f>
      </c>
      <c r="L6" s="13">
        <f>IF(E6="","",F6+'Inputs'!$B$5-E6)</f>
      </c>
      <c r="M6" s="13">
        <f>IF(E6="","",F6+('Inputs'!$B$5-E6)/(I6*J6))</f>
      </c>
      <c r="N6" s="13">
        <f>IF(E6="","",K6-F6)</f>
      </c>
      <c r="O6" s="13">
        <f>IF(E6="","",'Inputs'!$B$5-K6)</f>
      </c>
      <c r="P6" s="16">
        <f>IF(E6="","",('Inputs'!$B$5-E6)/('Inputs'!$B$5-F6))</f>
      </c>
    </row>
    <row r="7" spans="1:16" x14ac:dyDescent="0.25">
      <c r="A7">
        <v>3</v>
      </c>
      <c r="B7" s="12">
        <v>0.0381</v>
      </c>
      <c r="C7" s="13">
        <f>B7*'Inputs'!$B$5</f>
      </c>
      <c r="D7" s="14">
        <f>IF(E7="","",E7/'Inputs'!$B$5)</f>
      </c>
      <c r="E7" s="15">
        <v>1.661</v>
      </c>
      <c r="F7" s="15">
        <v>1.689</v>
      </c>
      <c r="G7" s="13">
        <f>IF(E7="","",E7-F7)</f>
      </c>
      <c r="H7" s="13">
        <f>IF(E7="","",E7-C7)</f>
      </c>
      <c r="I7" s="16">
        <f>IF(E7="","",E7/F7)</f>
      </c>
      <c r="J7" s="16">
        <f>IF(E7="","",E7/C7)</f>
      </c>
      <c r="K7" s="13">
        <f>IF(E7="","",'Inputs'!$B$5/I7)</f>
      </c>
      <c r="L7" s="13">
        <f>IF(E7="","",F7+'Inputs'!$B$5-E7)</f>
      </c>
      <c r="M7" s="13">
        <f>IF(E7="","",F7+('Inputs'!$B$5-E7)/(I7*J7))</f>
      </c>
      <c r="N7" s="13">
        <f>IF(E7="","",K7-F7)</f>
      </c>
      <c r="O7" s="13">
        <f>IF(E7="","",'Inputs'!$B$5-K7)</f>
      </c>
      <c r="P7" s="16">
        <f>IF(E7="","",('Inputs'!$B$5-E7)/('Inputs'!$B$5-F7))</f>
      </c>
    </row>
    <row r="8" spans="1:16" x14ac:dyDescent="0.25">
      <c r="A8">
        <v>4</v>
      </c>
      <c r="B8" s="12">
        <v>0.067</v>
      </c>
      <c r="C8" s="13">
        <f>B8*'Inputs'!$B$5</f>
      </c>
      <c r="D8" s="14">
        <f>IF(E8="","",E8/'Inputs'!$B$5)</f>
      </c>
      <c r="E8" s="15">
        <v>2.894</v>
      </c>
      <c r="F8" s="15">
        <v>2.959</v>
      </c>
      <c r="G8" s="13">
        <f>IF(E8="","",E8-F8)</f>
      </c>
      <c r="H8" s="13">
        <f>IF(E8="","",E8-C8)</f>
      </c>
      <c r="I8" s="16">
        <f>IF(E8="","",E8/F8)</f>
      </c>
      <c r="J8" s="16">
        <f>IF(E8="","",E8/C8)</f>
      </c>
      <c r="K8" s="13">
        <f>IF(E8="","",'Inputs'!$B$5/I8)</f>
      </c>
      <c r="L8" s="13">
        <f>IF(E8="","",F8+'Inputs'!$B$5-E8)</f>
      </c>
      <c r="M8" s="13">
        <f>IF(E8="","",F8+('Inputs'!$B$5-E8)/(I8*J8))</f>
      </c>
      <c r="N8" s="13">
        <f>IF(E8="","",K8-F8)</f>
      </c>
      <c r="O8" s="13">
        <f>IF(E8="","",'Inputs'!$B$5-K8)</f>
      </c>
      <c r="P8" s="16">
        <f>IF(E8="","",('Inputs'!$B$5-E8)/('Inputs'!$B$5-F8))</f>
      </c>
    </row>
    <row r="9" spans="1:16" x14ac:dyDescent="0.25">
      <c r="A9">
        <v>5</v>
      </c>
      <c r="B9" s="12">
        <v>0.1033</v>
      </c>
      <c r="C9" s="13">
        <f>B9*'Inputs'!$B$5</f>
      </c>
      <c r="D9" s="14">
        <f>IF(E9="","",E9/'Inputs'!$B$5)</f>
      </c>
      <c r="E9" s="15">
        <v>4.417</v>
      </c>
      <c r="F9" s="15">
        <v>4.542</v>
      </c>
      <c r="G9" s="13">
        <f>IF(E9="","",E9-F9)</f>
      </c>
      <c r="H9" s="13">
        <f>IF(E9="","",E9-C9)</f>
      </c>
      <c r="I9" s="16">
        <f>IF(E9="","",E9/F9)</f>
      </c>
      <c r="J9" s="16">
        <f>IF(E9="","",E9/C9)</f>
      </c>
      <c r="K9" s="13">
        <f>IF(E9="","",'Inputs'!$B$5/I9)</f>
      </c>
      <c r="L9" s="13">
        <f>IF(E9="","",F9+'Inputs'!$B$5-E9)</f>
      </c>
      <c r="M9" s="13">
        <f>IF(E9="","",F9+('Inputs'!$B$5-E9)/(I9*J9))</f>
      </c>
      <c r="N9" s="13">
        <f>IF(E9="","",K9-F9)</f>
      </c>
      <c r="O9" s="13">
        <f>IF(E9="","",'Inputs'!$B$5-K9)</f>
      </c>
      <c r="P9" s="16">
        <f>IF(E9="","",('Inputs'!$B$5-E9)/('Inputs'!$B$5-F9))</f>
      </c>
    </row>
    <row r="10" spans="1:16" x14ac:dyDescent="0.25">
      <c r="A10">
        <v>6</v>
      </c>
      <c r="B10" s="12">
        <v>0.1464</v>
      </c>
      <c r="C10" s="13">
        <f>B10*'Inputs'!$B$5</f>
      </c>
      <c r="D10" s="14">
        <f>IF(E10="","",E10/'Inputs'!$B$5)</f>
      </c>
      <c r="E10" s="15">
        <v>6.195</v>
      </c>
      <c r="F10" s="15">
        <v>6.407</v>
      </c>
      <c r="G10" s="13">
        <f>IF(E10="","",E10-F10)</f>
      </c>
      <c r="H10" s="13">
        <f>IF(E10="","",E10-C10)</f>
      </c>
      <c r="I10" s="16">
        <f>IF(E10="","",E10/F10)</f>
      </c>
      <c r="J10" s="16">
        <f>IF(E10="","",E10/C10)</f>
      </c>
      <c r="K10" s="13">
        <f>IF(E10="","",'Inputs'!$B$5/I10)</f>
      </c>
      <c r="L10" s="13">
        <f>IF(E10="","",F10+'Inputs'!$B$5-E10)</f>
      </c>
      <c r="M10" s="13">
        <f>IF(E10="","",F10+('Inputs'!$B$5-E10)/(I10*J10))</f>
      </c>
      <c r="N10" s="13">
        <f>IF(E10="","",K10-F10)</f>
      </c>
      <c r="O10" s="13">
        <f>IF(E10="","",'Inputs'!$B$5-K10)</f>
      </c>
      <c r="P10" s="16">
        <f>IF(E10="","",('Inputs'!$B$5-E10)/('Inputs'!$B$5-F10))</f>
      </c>
    </row>
    <row r="11" spans="1:16" x14ac:dyDescent="0.25">
      <c r="A11">
        <v>7</v>
      </c>
      <c r="B11" s="12">
        <v>0.1956</v>
      </c>
      <c r="C11" s="13">
        <f>B11*'Inputs'!$B$5</f>
      </c>
      <c r="D11" s="14">
        <f>IF(E11="","",E11/'Inputs'!$B$5)</f>
      </c>
      <c r="E11" s="15">
        <v>8.187</v>
      </c>
      <c r="F11" s="15">
        <v>8.515</v>
      </c>
      <c r="G11" s="13">
        <f>IF(E11="","",E11-F11)</f>
      </c>
      <c r="H11" s="13">
        <f>IF(E11="","",E11-C11)</f>
      </c>
      <c r="I11" s="16">
        <f>IF(E11="","",E11/F11)</f>
      </c>
      <c r="J11" s="16">
        <f>IF(E11="","",E11/C11)</f>
      </c>
      <c r="K11" s="13">
        <f>IF(E11="","",'Inputs'!$B$5/I11)</f>
      </c>
      <c r="L11" s="13">
        <f>IF(E11="","",F11+'Inputs'!$B$5-E11)</f>
      </c>
      <c r="M11" s="13">
        <f>IF(E11="","",F11+('Inputs'!$B$5-E11)/(I11*J11))</f>
      </c>
      <c r="N11" s="13">
        <f>IF(E11="","",K11-F11)</f>
      </c>
      <c r="O11" s="13">
        <f>IF(E11="","",'Inputs'!$B$5-K11)</f>
      </c>
      <c r="P11" s="16">
        <f>IF(E11="","",('Inputs'!$B$5-E11)/('Inputs'!$B$5-F11))</f>
      </c>
    </row>
    <row r="12" spans="1:16" x14ac:dyDescent="0.25">
      <c r="A12">
        <v>8</v>
      </c>
      <c r="B12" s="12">
        <v>0.25</v>
      </c>
      <c r="C12" s="13">
        <f>B12*'Inputs'!$B$5</f>
      </c>
      <c r="D12" s="14">
        <f>IF(E12="","",E12/'Inputs'!$B$5)</f>
      </c>
      <c r="E12" s="15">
        <v>10.35</v>
      </c>
      <c r="F12" s="15">
        <v>10.827</v>
      </c>
      <c r="G12" s="13">
        <f>IF(E12="","",E12-F12)</f>
      </c>
      <c r="H12" s="13">
        <f>IF(E12="","",E12-C12)</f>
      </c>
      <c r="I12" s="16">
        <f>IF(E12="","",E12/F12)</f>
      </c>
      <c r="J12" s="16">
        <f>IF(E12="","",E12/C12)</f>
      </c>
      <c r="K12" s="13">
        <f>IF(E12="","",'Inputs'!$B$5/I12)</f>
      </c>
      <c r="L12" s="13">
        <f>IF(E12="","",F12+'Inputs'!$B$5-E12)</f>
      </c>
      <c r="M12" s="13">
        <f>IF(E12="","",F12+('Inputs'!$B$5-E12)/(I12*J12))</f>
      </c>
      <c r="N12" s="13">
        <f>IF(E12="","",K12-F12)</f>
      </c>
      <c r="O12" s="13">
        <f>IF(E12="","",'Inputs'!$B$5-K12)</f>
      </c>
      <c r="P12" s="16">
        <f>IF(E12="","",('Inputs'!$B$5-E12)/('Inputs'!$B$5-F12))</f>
      </c>
    </row>
    <row r="13" spans="1:16" x14ac:dyDescent="0.25">
      <c r="A13">
        <v>9</v>
      </c>
      <c r="B13" s="12">
        <v>0.3087</v>
      </c>
      <c r="C13" s="13">
        <f>B13*'Inputs'!$B$5</f>
      </c>
      <c r="D13" s="14">
        <f>IF(E13="","",E13/'Inputs'!$B$5)</f>
      </c>
      <c r="E13" s="15">
        <v>12.64</v>
      </c>
      <c r="F13" s="15">
        <v>13.299</v>
      </c>
      <c r="G13" s="13">
        <f>IF(E13="","",E13-F13)</f>
      </c>
      <c r="H13" s="13">
        <f>IF(E13="","",E13-C13)</f>
      </c>
      <c r="I13" s="16">
        <f>IF(E13="","",E13/F13)</f>
      </c>
      <c r="J13" s="16">
        <f>IF(E13="","",E13/C13)</f>
      </c>
      <c r="K13" s="13">
        <f>IF(E13="","",'Inputs'!$B$5/I13)</f>
      </c>
      <c r="L13" s="13">
        <f>IF(E13="","",F13+'Inputs'!$B$5-E13)</f>
      </c>
      <c r="M13" s="13">
        <f>IF(E13="","",F13+('Inputs'!$B$5-E13)/(I13*J13))</f>
      </c>
      <c r="N13" s="13">
        <f>IF(E13="","",K13-F13)</f>
      </c>
      <c r="O13" s="13">
        <f>IF(E13="","",'Inputs'!$B$5-K13)</f>
      </c>
      <c r="P13" s="16">
        <f>IF(E13="","",('Inputs'!$B$5-E13)/('Inputs'!$B$5-F13))</f>
      </c>
    </row>
    <row r="14" spans="1:16" x14ac:dyDescent="0.25">
      <c r="A14">
        <v>10</v>
      </c>
      <c r="B14" s="12">
        <v>0.3706</v>
      </c>
      <c r="C14" s="13">
        <f>B14*'Inputs'!$B$5</f>
      </c>
      <c r="D14" s="14">
        <f>IF(E14="","",E14/'Inputs'!$B$5)</f>
      </c>
      <c r="E14" s="15">
        <v>15.009</v>
      </c>
      <c r="F14" s="15">
        <v>15.883</v>
      </c>
      <c r="G14" s="13">
        <f>IF(E14="","",E14-F14)</f>
      </c>
      <c r="H14" s="13">
        <f>IF(E14="","",E14-C14)</f>
      </c>
      <c r="I14" s="16">
        <f>IF(E14="","",E14/F14)</f>
      </c>
      <c r="J14" s="16">
        <f>IF(E14="","",E14/C14)</f>
      </c>
      <c r="K14" s="13">
        <f>IF(E14="","",'Inputs'!$B$5/I14)</f>
      </c>
      <c r="L14" s="13">
        <f>IF(E14="","",F14+'Inputs'!$B$5-E14)</f>
      </c>
      <c r="M14" s="13">
        <f>IF(E14="","",F14+('Inputs'!$B$5-E14)/(I14*J14))</f>
      </c>
      <c r="N14" s="13">
        <f>IF(E14="","",K14-F14)</f>
      </c>
      <c r="O14" s="13">
        <f>IF(E14="","",'Inputs'!$B$5-K14)</f>
      </c>
      <c r="P14" s="16">
        <f>IF(E14="","",('Inputs'!$B$5-E14)/('Inputs'!$B$5-F14))</f>
      </c>
    </row>
    <row r="15" spans="1:16" x14ac:dyDescent="0.25">
      <c r="A15">
        <v>11</v>
      </c>
      <c r="B15" s="12">
        <v>0.4347</v>
      </c>
      <c r="C15" s="13">
        <f>B15*'Inputs'!$B$5</f>
      </c>
      <c r="D15" s="14">
        <f>IF(E15="","",E15/'Inputs'!$B$5)</f>
      </c>
      <c r="E15" s="15">
        <v>17.411</v>
      </c>
      <c r="F15" s="15">
        <v>18.533</v>
      </c>
      <c r="G15" s="13">
        <f>IF(E15="","",E15-F15)</f>
      </c>
      <c r="H15" s="13">
        <f>IF(E15="","",E15-C15)</f>
      </c>
      <c r="I15" s="16">
        <f>IF(E15="","",E15/F15)</f>
      </c>
      <c r="J15" s="16">
        <f>IF(E15="","",E15/C15)</f>
      </c>
      <c r="K15" s="13">
        <f>IF(E15="","",'Inputs'!$B$5/I15)</f>
      </c>
      <c r="L15" s="13">
        <f>IF(E15="","",F15+'Inputs'!$B$5-E15)</f>
      </c>
      <c r="M15" s="13">
        <f>IF(E15="","",F15+('Inputs'!$B$5-E15)/(I15*J15))</f>
      </c>
      <c r="N15" s="13">
        <f>IF(E15="","",K15-F15)</f>
      </c>
      <c r="O15" s="13">
        <f>IF(E15="","",'Inputs'!$B$5-K15)</f>
      </c>
      <c r="P15" s="16">
        <f>IF(E15="","",('Inputs'!$B$5-E15)/('Inputs'!$B$5-F15))</f>
      </c>
    </row>
    <row r="16" spans="1:16" x14ac:dyDescent="0.25">
      <c r="A16">
        <v>12</v>
      </c>
      <c r="B16" s="12">
        <v>0.5</v>
      </c>
      <c r="C16" s="13">
        <f>B16*'Inputs'!$B$5</f>
      </c>
      <c r="D16" s="14">
        <f>IF(E16="","",E16/'Inputs'!$B$5)</f>
      </c>
      <c r="E16" s="15">
        <v>19.8</v>
      </c>
      <c r="F16" s="15">
        <v>21.2</v>
      </c>
      <c r="G16" s="13">
        <f>IF(E16="","",E16-F16)</f>
      </c>
      <c r="H16" s="13">
        <f>IF(E16="","",E16-C16)</f>
      </c>
      <c r="I16" s="16">
        <f>IF(E16="","",E16/F16)</f>
      </c>
      <c r="J16" s="16">
        <f>IF(E16="","",E16/C16)</f>
      </c>
      <c r="K16" s="13">
        <f>IF(E16="","",'Inputs'!$B$5/I16)</f>
      </c>
      <c r="L16" s="13">
        <f>IF(E16="","",F16+'Inputs'!$B$5-E16)</f>
      </c>
      <c r="M16" s="13">
        <f>IF(E16="","",F16+('Inputs'!$B$5-E16)/(I16*J16))</f>
      </c>
      <c r="N16" s="13">
        <f>IF(E16="","",K16-F16)</f>
      </c>
      <c r="O16" s="13">
        <f>IF(E16="","",'Inputs'!$B$5-K16)</f>
      </c>
      <c r="P16" s="16">
        <f>IF(E16="","",('Inputs'!$B$5-E16)/('Inputs'!$B$5-F16))</f>
      </c>
    </row>
    <row r="17" spans="1:16" x14ac:dyDescent="0.25">
      <c r="A17">
        <v>13</v>
      </c>
      <c r="B17" s="12">
        <v>0.5653</v>
      </c>
      <c r="C17" s="13">
        <f>B17*'Inputs'!$B$5</f>
      </c>
      <c r="D17" s="14">
        <f>IF(E17="","",E17/'Inputs'!$B$5)</f>
      </c>
      <c r="E17" s="15"/>
      <c r="F17" s="15"/>
      <c r="G17" s="13">
        <f>IF(E17="","",E17-F17)</f>
      </c>
      <c r="H17" s="13">
        <f>IF(E17="","",E17-C17)</f>
      </c>
      <c r="I17" s="16">
        <f>IF(E17="","",E17/F17)</f>
      </c>
      <c r="J17" s="16">
        <f>IF(E17="","",E17/C17)</f>
      </c>
      <c r="K17" s="13">
        <f>IF(E17="","",'Inputs'!$B$5/I17)</f>
      </c>
      <c r="L17" s="13">
        <f>IF(E17="","",F17+'Inputs'!$B$5-E17)</f>
      </c>
      <c r="M17" s="13">
        <f>IF(E17="","",F17+('Inputs'!$B$5-E17)/(I17*J17))</f>
      </c>
      <c r="N17" s="13">
        <f>IF(E17="","",K17-F17)</f>
      </c>
      <c r="O17" s="13">
        <f>IF(E17="","",'Inputs'!$B$5-K17)</f>
      </c>
      <c r="P17" s="16">
        <f>IF(E17="","",('Inputs'!$B$5-E17)/('Inputs'!$B$5-F17))</f>
      </c>
    </row>
    <row r="18" spans="1:16" x14ac:dyDescent="0.25">
      <c r="A18">
        <v>14</v>
      </c>
      <c r="B18" s="12">
        <v>0.6294</v>
      </c>
      <c r="C18" s="13">
        <f>B18*'Inputs'!$B$5</f>
      </c>
      <c r="D18" s="14">
        <f>IF(E18="","",E18/'Inputs'!$B$5)</f>
      </c>
      <c r="E18" s="15"/>
      <c r="F18" s="15"/>
      <c r="G18" s="13">
        <f>IF(E18="","",E18-F18)</f>
      </c>
      <c r="H18" s="13">
        <f>IF(E18="","",E18-C18)</f>
      </c>
      <c r="I18" s="16">
        <f>IF(E18="","",E18/F18)</f>
      </c>
      <c r="J18" s="16">
        <f>IF(E18="","",E18/C18)</f>
      </c>
      <c r="K18" s="13">
        <f>IF(E18="","",'Inputs'!$B$5/I18)</f>
      </c>
      <c r="L18" s="13">
        <f>IF(E18="","",F18+'Inputs'!$B$5-E18)</f>
      </c>
      <c r="M18" s="13">
        <f>IF(E18="","",F18+('Inputs'!$B$5-E18)/(I18*J18))</f>
      </c>
      <c r="N18" s="13">
        <f>IF(E18="","",K18-F18)</f>
      </c>
      <c r="O18" s="13">
        <f>IF(E18="","",'Inputs'!$B$5-K18)</f>
      </c>
      <c r="P18" s="16">
        <f>IF(E18="","",('Inputs'!$B$5-E18)/('Inputs'!$B$5-F18))</f>
      </c>
    </row>
    <row r="19" spans="1:16" x14ac:dyDescent="0.25">
      <c r="A19">
        <v>15</v>
      </c>
      <c r="B19" s="12">
        <v>0.6913</v>
      </c>
      <c r="C19" s="13">
        <f>B19*'Inputs'!$B$5</f>
      </c>
      <c r="D19" s="14">
        <f>IF(E19="","",E19/'Inputs'!$B$5)</f>
      </c>
      <c r="E19" s="15"/>
      <c r="F19" s="15"/>
      <c r="G19" s="13">
        <f>IF(E19="","",E19-F19)</f>
      </c>
      <c r="H19" s="13">
        <f>IF(E19="","",E19-C19)</f>
      </c>
      <c r="I19" s="16">
        <f>IF(E19="","",E19/F19)</f>
      </c>
      <c r="J19" s="16">
        <f>IF(E19="","",E19/C19)</f>
      </c>
      <c r="K19" s="13">
        <f>IF(E19="","",'Inputs'!$B$5/I19)</f>
      </c>
      <c r="L19" s="13">
        <f>IF(E19="","",F19+'Inputs'!$B$5-E19)</f>
      </c>
      <c r="M19" s="13">
        <f>IF(E19="","",F19+('Inputs'!$B$5-E19)/(I19*J19))</f>
      </c>
      <c r="N19" s="13">
        <f>IF(E19="","",K19-F19)</f>
      </c>
      <c r="O19" s="13">
        <f>IF(E19="","",'Inputs'!$B$5-K19)</f>
      </c>
      <c r="P19" s="16">
        <f>IF(E19="","",('Inputs'!$B$5-E19)/('Inputs'!$B$5-F19))</f>
      </c>
    </row>
    <row r="20" spans="1:16" x14ac:dyDescent="0.25">
      <c r="A20">
        <v>16</v>
      </c>
      <c r="B20" s="12">
        <v>0.75</v>
      </c>
      <c r="C20" s="13">
        <f>B20*'Inputs'!$B$5</f>
      </c>
      <c r="D20" s="14">
        <f>IF(E20="","",E20/'Inputs'!$B$5)</f>
      </c>
      <c r="E20" s="15"/>
      <c r="F20" s="15"/>
      <c r="G20" s="13">
        <f>IF(E20="","",E20-F20)</f>
      </c>
      <c r="H20" s="13">
        <f>IF(E20="","",E20-C20)</f>
      </c>
      <c r="I20" s="16">
        <f>IF(E20="","",E20/F20)</f>
      </c>
      <c r="J20" s="16">
        <f>IF(E20="","",E20/C20)</f>
      </c>
      <c r="K20" s="13">
        <f>IF(E20="","",'Inputs'!$B$5/I20)</f>
      </c>
      <c r="L20" s="13">
        <f>IF(E20="","",F20+'Inputs'!$B$5-E20)</f>
      </c>
      <c r="M20" s="13">
        <f>IF(E20="","",F20+('Inputs'!$B$5-E20)/(I20*J20))</f>
      </c>
      <c r="N20" s="13">
        <f>IF(E20="","",K20-F20)</f>
      </c>
      <c r="O20" s="13">
        <f>IF(E20="","",'Inputs'!$B$5-K20)</f>
      </c>
      <c r="P20" s="16">
        <f>IF(E20="","",('Inputs'!$B$5-E20)/('Inputs'!$B$5-F20))</f>
      </c>
    </row>
    <row r="21" spans="1:16" x14ac:dyDescent="0.25">
      <c r="A21">
        <v>17</v>
      </c>
      <c r="B21" s="12">
        <v>0.8044</v>
      </c>
      <c r="C21" s="13">
        <f>B21*'Inputs'!$B$5</f>
      </c>
      <c r="D21" s="14">
        <f>IF(E21="","",E21/'Inputs'!$B$5)</f>
      </c>
      <c r="E21" s="15"/>
      <c r="F21" s="15"/>
      <c r="G21" s="13">
        <f>IF(E21="","",E21-F21)</f>
      </c>
      <c r="H21" s="13">
        <f>IF(E21="","",E21-C21)</f>
      </c>
      <c r="I21" s="16">
        <f>IF(E21="","",E21/F21)</f>
      </c>
      <c r="J21" s="16">
        <f>IF(E21="","",E21/C21)</f>
      </c>
      <c r="K21" s="13">
        <f>IF(E21="","",'Inputs'!$B$5/I21)</f>
      </c>
      <c r="L21" s="13">
        <f>IF(E21="","",F21+'Inputs'!$B$5-E21)</f>
      </c>
      <c r="M21" s="13">
        <f>IF(E21="","",F21+('Inputs'!$B$5-E21)/(I21*J21))</f>
      </c>
      <c r="N21" s="13">
        <f>IF(E21="","",K21-F21)</f>
      </c>
      <c r="O21" s="13">
        <f>IF(E21="","",'Inputs'!$B$5-K21)</f>
      </c>
      <c r="P21" s="16">
        <f>IF(E21="","",('Inputs'!$B$5-E21)/('Inputs'!$B$5-F21))</f>
      </c>
    </row>
    <row r="22" spans="1:16" x14ac:dyDescent="0.25">
      <c r="A22">
        <v>18</v>
      </c>
      <c r="B22" s="12">
        <v>0.8536</v>
      </c>
      <c r="C22" s="13">
        <f>B22*'Inputs'!$B$5</f>
      </c>
      <c r="D22" s="14">
        <f>IF(E22="","",E22/'Inputs'!$B$5)</f>
      </c>
      <c r="E22" s="15"/>
      <c r="F22" s="15"/>
      <c r="G22" s="13">
        <f>IF(E22="","",E22-F22)</f>
      </c>
      <c r="H22" s="13">
        <f>IF(E22="","",E22-C22)</f>
      </c>
      <c r="I22" s="16">
        <f>IF(E22="","",E22/F22)</f>
      </c>
      <c r="J22" s="16">
        <f>IF(E22="","",E22/C22)</f>
      </c>
      <c r="K22" s="13">
        <f>IF(E22="","",'Inputs'!$B$5/I22)</f>
      </c>
      <c r="L22" s="13">
        <f>IF(E22="","",F22+'Inputs'!$B$5-E22)</f>
      </c>
      <c r="M22" s="13">
        <f>IF(E22="","",F22+('Inputs'!$B$5-E22)/(I22*J22))</f>
      </c>
      <c r="N22" s="13">
        <f>IF(E22="","",K22-F22)</f>
      </c>
      <c r="O22" s="13">
        <f>IF(E22="","",'Inputs'!$B$5-K22)</f>
      </c>
      <c r="P22" s="16">
        <f>IF(E22="","",('Inputs'!$B$5-E22)/('Inputs'!$B$5-F22))</f>
      </c>
    </row>
    <row r="23" spans="1:16" x14ac:dyDescent="0.25">
      <c r="A23">
        <v>19</v>
      </c>
      <c r="B23" s="12">
        <v>0.8967</v>
      </c>
      <c r="C23" s="13">
        <f>B23*'Inputs'!$B$5</f>
      </c>
      <c r="D23" s="14">
        <f>IF(E23="","",E23/'Inputs'!$B$5)</f>
      </c>
      <c r="E23" s="15"/>
      <c r="F23" s="15"/>
      <c r="G23" s="13">
        <f>IF(E23="","",E23-F23)</f>
      </c>
      <c r="H23" s="13">
        <f>IF(E23="","",E23-C23)</f>
      </c>
      <c r="I23" s="16">
        <f>IF(E23="","",E23/F23)</f>
      </c>
      <c r="J23" s="16">
        <f>IF(E23="","",E23/C23)</f>
      </c>
      <c r="K23" s="13">
        <f>IF(E23="","",'Inputs'!$B$5/I23)</f>
      </c>
      <c r="L23" s="13">
        <f>IF(E23="","",F23+'Inputs'!$B$5-E23)</f>
      </c>
      <c r="M23" s="13">
        <f>IF(E23="","",F23+('Inputs'!$B$5-E23)/(I23*J23))</f>
      </c>
      <c r="N23" s="13">
        <f>IF(E23="","",K23-F23)</f>
      </c>
      <c r="O23" s="13">
        <f>IF(E23="","",'Inputs'!$B$5-K23)</f>
      </c>
      <c r="P23" s="16">
        <f>IF(E23="","",('Inputs'!$B$5-E23)/('Inputs'!$B$5-F23))</f>
      </c>
    </row>
    <row r="24" spans="1:16" x14ac:dyDescent="0.25">
      <c r="A24">
        <v>20</v>
      </c>
      <c r="B24" s="12">
        <v>0.933</v>
      </c>
      <c r="C24" s="13">
        <f>B24*'Inputs'!$B$5</f>
      </c>
      <c r="D24" s="14">
        <f>IF(E24="","",E24/'Inputs'!$B$5)</f>
      </c>
      <c r="E24" s="15"/>
      <c r="F24" s="15"/>
      <c r="G24" s="13">
        <f>IF(E24="","",E24-F24)</f>
      </c>
      <c r="H24" s="13">
        <f>IF(E24="","",E24-C24)</f>
      </c>
      <c r="I24" s="16">
        <f>IF(E24="","",E24/F24)</f>
      </c>
      <c r="J24" s="16">
        <f>IF(E24="","",E24/C24)</f>
      </c>
      <c r="K24" s="13">
        <f>IF(E24="","",'Inputs'!$B$5/I24)</f>
      </c>
      <c r="L24" s="13">
        <f>IF(E24="","",F24+'Inputs'!$B$5-E24)</f>
      </c>
      <c r="M24" s="13">
        <f>IF(E24="","",F24+('Inputs'!$B$5-E24)/(I24*J24))</f>
      </c>
      <c r="N24" s="13">
        <f>IF(E24="","",K24-F24)</f>
      </c>
      <c r="O24" s="13">
        <f>IF(E24="","",'Inputs'!$B$5-K24)</f>
      </c>
      <c r="P24" s="16">
        <f>IF(E24="","",('Inputs'!$B$5-E24)/('Inputs'!$B$5-F24))</f>
      </c>
    </row>
    <row r="25" spans="1:16" x14ac:dyDescent="0.25">
      <c r="A25">
        <v>21</v>
      </c>
      <c r="B25" s="12">
        <v>0.9619</v>
      </c>
      <c r="C25" s="13">
        <f>B25*'Inputs'!$B$5</f>
      </c>
      <c r="D25" s="14">
        <f>IF(E25="","",E25/'Inputs'!$B$5)</f>
      </c>
      <c r="E25" s="15"/>
      <c r="F25" s="15"/>
      <c r="G25" s="13">
        <f>IF(E25="","",E25-F25)</f>
      </c>
      <c r="H25" s="13">
        <f>IF(E25="","",E25-C25)</f>
      </c>
      <c r="I25" s="16">
        <f>IF(E25="","",E25/F25)</f>
      </c>
      <c r="J25" s="16">
        <f>IF(E25="","",E25/C25)</f>
      </c>
      <c r="K25" s="13">
        <f>IF(E25="","",'Inputs'!$B$5/I25)</f>
      </c>
      <c r="L25" s="13">
        <f>IF(E25="","",F25+'Inputs'!$B$5-E25)</f>
      </c>
      <c r="M25" s="13">
        <f>IF(E25="","",F25+('Inputs'!$B$5-E25)/(I25*J25))</f>
      </c>
      <c r="N25" s="13">
        <f>IF(E25="","",K25-F25)</f>
      </c>
      <c r="O25" s="13">
        <f>IF(E25="","",'Inputs'!$B$5-K25)</f>
      </c>
      <c r="P25" s="16">
        <f>IF(E25="","",('Inputs'!$B$5-E25)/('Inputs'!$B$5-F25))</f>
      </c>
    </row>
    <row r="26" spans="1:16" x14ac:dyDescent="0.25">
      <c r="A26">
        <v>22</v>
      </c>
      <c r="B26" s="12">
        <v>0.983</v>
      </c>
      <c r="C26" s="13">
        <f>B26*'Inputs'!$B$5</f>
      </c>
      <c r="D26" s="14">
        <f>IF(E26="","",E26/'Inputs'!$B$5)</f>
      </c>
      <c r="E26" s="15"/>
      <c r="F26" s="15"/>
      <c r="G26" s="13">
        <f>IF(E26="","",E26-F26)</f>
      </c>
      <c r="H26" s="13">
        <f>IF(E26="","",E26-C26)</f>
      </c>
      <c r="I26" s="16">
        <f>IF(E26="","",E26/F26)</f>
      </c>
      <c r="J26" s="16">
        <f>IF(E26="","",E26/C26)</f>
      </c>
      <c r="K26" s="13">
        <f>IF(E26="","",'Inputs'!$B$5/I26)</f>
      </c>
      <c r="L26" s="13">
        <f>IF(E26="","",F26+'Inputs'!$B$5-E26)</f>
      </c>
      <c r="M26" s="13">
        <f>IF(E26="","",F26+('Inputs'!$B$5-E26)/(I26*J26))</f>
      </c>
      <c r="N26" s="13">
        <f>IF(E26="","",K26-F26)</f>
      </c>
      <c r="O26" s="13">
        <f>IF(E26="","",'Inputs'!$B$5-K26)</f>
      </c>
      <c r="P26" s="16">
        <f>IF(E26="","",('Inputs'!$B$5-E26)/('Inputs'!$B$5-F26))</f>
      </c>
    </row>
    <row r="27" spans="1:16" x14ac:dyDescent="0.25">
      <c r="A27">
        <v>23</v>
      </c>
      <c r="B27" s="12">
        <v>0.9957</v>
      </c>
      <c r="C27" s="13">
        <f>B27*'Inputs'!$B$5</f>
      </c>
      <c r="D27" s="14">
        <f>IF(E27="","",E27/'Inputs'!$B$5)</f>
      </c>
      <c r="E27" s="15"/>
      <c r="F27" s="15"/>
      <c r="G27" s="13">
        <f>IF(E27="","",E27-F27)</f>
      </c>
      <c r="H27" s="13">
        <f>IF(E27="","",E27-C27)</f>
      </c>
      <c r="I27" s="16">
        <f>IF(E27="","",E27/F27)</f>
      </c>
      <c r="J27" s="16">
        <f>IF(E27="","",E27/C27)</f>
      </c>
      <c r="K27" s="13">
        <f>IF(E27="","",'Inputs'!$B$5/I27)</f>
      </c>
      <c r="L27" s="13">
        <f>IF(E27="","",F27+'Inputs'!$B$5-E27)</f>
      </c>
      <c r="M27" s="13">
        <f>IF(E27="","",F27+('Inputs'!$B$5-E27)/(I27*J27))</f>
      </c>
      <c r="N27" s="13">
        <f>IF(E27="","",K27-F27)</f>
      </c>
      <c r="O27" s="13">
        <f>IF(E27="","",'Inputs'!$B$5-K27)</f>
      </c>
      <c r="P27" s="16">
        <f>IF(E27="","",('Inputs'!$B$5-E27)/('Inputs'!$B$5-F27))</f>
      </c>
    </row>
    <row r="28" spans="1:16" x14ac:dyDescent="0.25">
      <c r="A28">
        <v>24</v>
      </c>
      <c r="B28" s="12">
        <v>1</v>
      </c>
      <c r="C28" s="13">
        <f>B28*'Inputs'!$B$5</f>
      </c>
      <c r="D28" s="14">
        <f>IF(E28="","",E28/'Inputs'!$B$5)</f>
      </c>
      <c r="E28" s="15"/>
      <c r="F28" s="15"/>
      <c r="G28" s="13">
        <f>IF(E28="","",E28-F28)</f>
      </c>
      <c r="H28" s="13">
        <f>IF(E28="","",E28-C28)</f>
      </c>
      <c r="I28" s="16">
        <f>IF(E28="","",E28/F28)</f>
      </c>
      <c r="J28" s="16">
        <f>IF(E28="","",E28/C28)</f>
      </c>
      <c r="K28" s="13">
        <f>IF(E28="","",'Inputs'!$B$5/I28)</f>
      </c>
      <c r="L28" s="13">
        <f>IF(E28="","",F28+'Inputs'!$B$5-E28)</f>
      </c>
      <c r="M28" s="13">
        <f>IF(E28="","",F28+('Inputs'!$B$5-E28)/(I28*J28))</f>
      </c>
      <c r="N28" s="13">
        <f>IF(E28="","",K28-F28)</f>
      </c>
      <c r="O28" s="13">
        <f>IF(E28="","",'Inputs'!$B$5-K28)</f>
      </c>
      <c r="P28" s="16">
        <f>IF(E28="","",('Inputs'!$B$5-E28)/('Inputs'!$B$5-F28))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40" customWidth="1"/>
    <col min="2" max="2" width="14" customWidth="1"/>
    <col min="3" max="3" width="12" customWidth="1"/>
    <col min="4" max="4" width="70" customWidth="1"/>
  </cols>
  <sheetData>
    <row r="1" spans="1:1" x14ac:dyDescent="0.25">
      <c r="A1" s="6" t="s">
        <v>46</v>
      </c>
    </row>
    <row r="4" ht="32" customHeight="1" spans="1:4" x14ac:dyDescent="0.25">
      <c r="A4" s="7" t="s">
        <v>47</v>
      </c>
      <c r="B4" s="7" t="s">
        <v>17</v>
      </c>
      <c r="C4" s="7" t="s">
        <v>18</v>
      </c>
      <c r="D4" s="7" t="s">
        <v>48</v>
      </c>
    </row>
    <row r="5" spans="1:4" x14ac:dyDescent="0.25">
      <c r="A5" t="s">
        <v>49</v>
      </c>
      <c r="B5" s="17">
        <f>INDEX(Monthly!$C$5:$C$28,'Inputs'!$B$6)</f>
      </c>
      <c r="C5" t="s">
        <v>21</v>
      </c>
      <c r="D5" s="9" t="s">
        <v>22</v>
      </c>
    </row>
    <row r="6" spans="1:4" x14ac:dyDescent="0.25">
      <c r="A6" t="s">
        <v>50</v>
      </c>
      <c r="B6" s="17">
        <f>INDEX(Monthly!$E$5:$E$28,'Inputs'!$B$6)</f>
      </c>
      <c r="C6" t="s">
        <v>21</v>
      </c>
      <c r="D6" s="9" t="s">
        <v>22</v>
      </c>
    </row>
    <row r="7" spans="1:4" x14ac:dyDescent="0.25">
      <c r="A7" t="s">
        <v>51</v>
      </c>
      <c r="B7" s="17">
        <f>INDEX(Monthly!$F$5:$F$28,'Inputs'!$B$6)</f>
      </c>
      <c r="C7" t="s">
        <v>21</v>
      </c>
      <c r="D7" s="9" t="s">
        <v>22</v>
      </c>
    </row>
    <row r="8" spans="1:4" x14ac:dyDescent="0.25">
      <c r="A8" t="s">
        <v>52</v>
      </c>
      <c r="B8" s="17">
        <f>INDEX(Monthly!$G$5:$G$28,'Inputs'!$B$6)</f>
      </c>
      <c r="C8" t="s">
        <v>21</v>
      </c>
      <c r="D8" s="9" t="s">
        <v>53</v>
      </c>
    </row>
    <row r="9" spans="1:4" x14ac:dyDescent="0.25">
      <c r="A9" t="s">
        <v>54</v>
      </c>
      <c r="B9" s="17">
        <f>INDEX(Monthly!$H$5:$H$28,'Inputs'!$B$6)</f>
      </c>
      <c r="C9" t="s">
        <v>21</v>
      </c>
      <c r="D9" s="9" t="s">
        <v>55</v>
      </c>
    </row>
    <row r="10" spans="1:4" x14ac:dyDescent="0.25">
      <c r="A10" t="s">
        <v>56</v>
      </c>
      <c r="B10" s="18">
        <f>INDEX(Monthly!$I$5:$I$28,'Inputs'!$B$6)</f>
      </c>
      <c r="C10" t="s">
        <v>57</v>
      </c>
      <c r="D10" s="9" t="s">
        <v>58</v>
      </c>
    </row>
    <row r="11" spans="1:4" x14ac:dyDescent="0.25">
      <c r="A11" t="s">
        <v>59</v>
      </c>
      <c r="B11" s="18">
        <f>INDEX(Monthly!$J$5:$J$28,'Inputs'!$B$6)</f>
      </c>
      <c r="C11" t="s">
        <v>57</v>
      </c>
      <c r="D11" s="9" t="s">
        <v>60</v>
      </c>
    </row>
    <row r="12" spans="1:4" x14ac:dyDescent="0.25">
      <c r="A12" t="s">
        <v>61</v>
      </c>
      <c r="B12" s="17">
        <f>INDEX(Monthly!$K$5:$K$28,'Inputs'!$B$6)</f>
      </c>
      <c r="C12" t="s">
        <v>21</v>
      </c>
      <c r="D12" s="9" t="s">
        <v>22</v>
      </c>
    </row>
    <row r="13" spans="1:4" x14ac:dyDescent="0.25">
      <c r="A13" t="s">
        <v>62</v>
      </c>
      <c r="B13" s="17">
        <f>INDEX(Monthly!$L$5:$L$28,'Inputs'!$B$6)</f>
      </c>
      <c r="C13" t="s">
        <v>21</v>
      </c>
      <c r="D13" s="9" t="s">
        <v>22</v>
      </c>
    </row>
    <row r="14" spans="1:4" x14ac:dyDescent="0.25">
      <c r="A14" t="s">
        <v>63</v>
      </c>
      <c r="B14" s="17">
        <f>INDEX(Monthly!$M$5:$M$28,'Inputs'!$B$6)</f>
      </c>
      <c r="C14" t="s">
        <v>21</v>
      </c>
      <c r="D14" s="9" t="s">
        <v>22</v>
      </c>
    </row>
    <row r="15" spans="1:4" x14ac:dyDescent="0.25">
      <c r="A15" t="s">
        <v>64</v>
      </c>
      <c r="B15" s="18">
        <f>INDEX(Monthly!$P$5:$P$28,'Inputs'!$B$6)</f>
      </c>
      <c r="C15" t="s">
        <v>57</v>
      </c>
      <c r="D15" s="9" t="s">
        <v>65</v>
      </c>
    </row>
    <row r="16" spans="1:4" x14ac:dyDescent="0.25">
      <c r="A16" t="s">
        <v>66</v>
      </c>
      <c r="B16" s="19">
        <f>IF(AND(B10&lt;0.95,B11&lt;0.95),"RED: cost and schedule",IF(OR(B10&lt;0.95,B11&lt;0.95),"AMBER","GREEN"))</f>
      </c>
      <c r="C16" t="s">
        <v>22</v>
      </c>
      <c r="D16" s="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20" customWidth="1"/>
  </cols>
  <sheetData>
    <row r="1" spans="1:1" x14ac:dyDescent="0.25">
      <c r="A1" s="20" t="s">
        <v>67</v>
      </c>
    </row>
    <row r="2" spans="1:1" x14ac:dyDescent="0.25">
      <c r="A2" s="21" t="s">
        <v>68</v>
      </c>
    </row>
    <row r="3" spans="1:1" x14ac:dyDescent="0.25">
      <c r="A3" s="21" t="s">
        <v>69</v>
      </c>
    </row>
    <row r="4" spans="1:1" x14ac:dyDescent="0.25">
      <c r="A4" s="21" t="s">
        <v>70</v>
      </c>
    </row>
    <row r="5" spans="1:1" x14ac:dyDescent="0.25">
      <c r="A5" s="21" t="s">
        <v>71</v>
      </c>
    </row>
    <row r="6" spans="1:1" x14ac:dyDescent="0.25">
      <c r="A6" s="21" t="s">
        <v>72</v>
      </c>
    </row>
    <row r="7" spans="1:1" x14ac:dyDescent="0.25">
      <c r="A7" s="2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Inputs</vt:lpstr>
      <vt:lpstr>Monthly</vt:lpstr>
      <vt:lpstr>Status</vt:lpstr>
      <vt:lpstr>Guidance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MEWRE PM Learning Platform (Module 10)</dc:creator>
  <dc:title>EVM tracker</dc:title>
  <dc:subject/>
  <dc:description/>
  <cp:keywords/>
  <cp:category/>
  <cp:lastModifiedBy>Unknown</cp:lastModifiedBy>
  <dcterms:created xsi:type="dcterms:W3CDTF">2026-10-19T00:00:00Z</dcterms:created>
  <dcterms:modified xsi:type="dcterms:W3CDTF">2026-10-19T10:53:52Z</dcterms:modified>
</cp:coreProperties>
</file>