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Inputs" state="visible" r:id="rId5"/>
    <sheet sheetId="3" name="Bids" state="visible" r:id="rId6"/>
    <sheet sheetId="4" name="Calc" state="visible" r:id="rId7"/>
    <sheet sheetId="5" name="Results" state="visible" r:id="rId8"/>
  </sheets>
  <calcPr calcId="171027" fullCalcOnLoad="1"/>
</workbook>
</file>

<file path=xl/sharedStrings.xml><?xml version="1.0" encoding="utf-8"?>
<sst xmlns="http://schemas.openxmlformats.org/spreadsheetml/2006/main" count="88" uniqueCount="77">
  <si>
    <t>Tariff bid evaluation — levelized tariff comparison (Module 10, Lesson 5)</t>
  </si>
  <si>
    <t>Yellow cells with blue bold text = INPUTS you may change.</t>
  </si>
  <si>
    <t>Green cells = key RESULTS (formulas — do not overwrite).</t>
  </si>
  <si>
    <t>WHAT THIS MODEL DOES</t>
  </si>
  <si>
    <t>Compares IPP tariff bids that have different shapes (flat, indexed, front-loaded) on one basis: the levelized tariff LT = sum(T_t x E_t x DF_t) / sum(E_t x DF_t), i.e. the flat tariff that would cost the offtaker the same present value for the same energy. It also shows the present value of payments, ranking at three discount rates, a combined financial/technical score and an 'aggressive bid' flag (deviation from the median levelized tariff).</t>
  </si>
  <si>
    <t>Sheets: Inputs (evaluation parameters) -&gt; Bids (each bidder's tariff structure, yellow) -&gt; Calc (annual tariffs and discount factors) -&gt; Results.</t>
  </si>
  <si>
    <t>Evaluation basis is set by the RFP: discount rate, energy profile and whether escalation indices are converted at an assumed rate must be published to bidders BEFORE bids are opened. Changing them afterwards is a procurement-integrity issue.</t>
  </si>
  <si>
    <t>The 70/30 financial/technical weighting here is ILLUSTRATIVE only. Many Gulf IPP tenders use pass/fail technical compliance followed by lowest levelized tariff; check the actual RFP evaluation criteria.</t>
  </si>
  <si>
    <t>EXERCISES</t>
  </si>
  <si>
    <t>1. At a 7% evaluation rate the ranking is C, A, D, B. Change the main rate to 4% and to 10%. Which pair swaps, and why does front-loading (bid D) win at low rates?</t>
  </si>
  <si>
    <t>2. Bid C is 20% below the median: list five questions you would put in a clarification letter before any recommendation.</t>
  </si>
  <si>
    <t>3. Change Bid B's escalation to 1.0%/yr. What base tariff would make B equal to A at 7%?</t>
  </si>
  <si>
    <t>4. Weighting: change the technical weight to 0 (pure price). Does the winner change?</t>
  </si>
  <si>
    <t>DISCLAIMER</t>
  </si>
  <si>
    <t>All numbers are ILLUSTRATIVE teaching values for a generic 1,100 MW PV IPP in Kuwait-like conditions. They are NOT the tariff, capex or terms of any real Shagaya / KAPP project (the Zone 1 tariff has not been published). Replace them with project data before using the model for any decision.</t>
  </si>
  <si>
    <t>Currency convention: USD for IPP economics, KWD for ministry budgets; assumed 1 KWD = 3.25 USD (change in Inputs where shown).</t>
  </si>
  <si>
    <t>Inputs — evaluation parameters</t>
  </si>
  <si>
    <t>Input</t>
  </si>
  <si>
    <t>Value</t>
  </si>
  <si>
    <t>Unit</t>
  </si>
  <si>
    <t>Note / typical range</t>
  </si>
  <si>
    <t>Evaluation discount rate (main)</t>
  </si>
  <si>
    <t>%/yr</t>
  </si>
  <si>
    <t>Published in the RFP</t>
  </si>
  <si>
    <t>Alternative rate 1 (sensitivity)</t>
  </si>
  <si>
    <t/>
  </si>
  <si>
    <t>Alternative rate 2 (sensitivity)</t>
  </si>
  <si>
    <t>Contract energy year 1 (P50, same for all bids)</t>
  </si>
  <si>
    <t>GWh</t>
  </si>
  <si>
    <t>Energy degradation profile</t>
  </si>
  <si>
    <t>PPA term</t>
  </si>
  <si>
    <t>years</t>
  </si>
  <si>
    <t>Financial weight</t>
  </si>
  <si>
    <t>%</t>
  </si>
  <si>
    <t>Illustrative</t>
  </si>
  <si>
    <t>Technical weight</t>
  </si>
  <si>
    <t>Aggressive-bid threshold (below median)</t>
  </si>
  <si>
    <t>Triggers abnormally-low-bid clarification</t>
  </si>
  <si>
    <t>Bids — tariff structures (yellow = from bid forms)</t>
  </si>
  <si>
    <t>Bidder</t>
  </si>
  <si>
    <t>Tariff yr 1 (USc/kWh)</t>
  </si>
  <si>
    <t>Indexation (%/yr)</t>
  </si>
  <si>
    <t>Step after year</t>
  </si>
  <si>
    <t>Tariff after step (USc/kWh)</t>
  </si>
  <si>
    <t>Technical score (0–100)</t>
  </si>
  <si>
    <t>Bid A (flat)</t>
  </si>
  <si>
    <t>Bid B (indexed)</t>
  </si>
  <si>
    <t>Bid C (aggressive)</t>
  </si>
  <si>
    <t>Bid D (front-loaded)</t>
  </si>
  <si>
    <t>Annual tariffs, energy and discount factors (formulas)</t>
  </si>
  <si>
    <t>Year</t>
  </si>
  <si>
    <t>Flag</t>
  </si>
  <si>
    <t>Energy (GWh)</t>
  </si>
  <si>
    <t>DF main</t>
  </si>
  <si>
    <t>DF alt1</t>
  </si>
  <si>
    <t>DF alt2</t>
  </si>
  <si>
    <t>Tariff A</t>
  </si>
  <si>
    <t>Tariff B</t>
  </si>
  <si>
    <t>Tariff C</t>
  </si>
  <si>
    <t>Tariff D</t>
  </si>
  <si>
    <t>Results — levelized tariff, ranking and flags</t>
  </si>
  <si>
    <t>Levelized tariff @ main (USc/kWh)</t>
  </si>
  <si>
    <t>PV of payments @ main (USD m)</t>
  </si>
  <si>
    <t>Rank (1 = cheapest)</t>
  </si>
  <si>
    <t>Deviation from median</t>
  </si>
  <si>
    <t>Aggressive-bid flag</t>
  </si>
  <si>
    <t>Financial score</t>
  </si>
  <si>
    <t>Technical score</t>
  </si>
  <si>
    <t>Combined score</t>
  </si>
  <si>
    <t>Combined rank</t>
  </si>
  <si>
    <t>LT @ alt1</t>
  </si>
  <si>
    <t>Rank @ alt1</t>
  </si>
  <si>
    <t>LT @ alt2</t>
  </si>
  <si>
    <t>Rank @ alt2</t>
  </si>
  <si>
    <t>Nominal undiscounted avg tariff</t>
  </si>
  <si>
    <t>PV of contract energy @ main rate (GWh, discounted)</t>
  </si>
  <si>
    <t>Note: the levelized tariff of a flat bid equals its flat tariff at any discount rate; shaped bids move with the rate. Always publish the evaluation rate in the RFP.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</si>
</sst>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#,##0.0"/>
    <numFmt numFmtId="166" formatCode="0.0000"/>
    <numFmt numFmtId="167" formatCode="0.0%"/>
    <numFmt numFmtId="168" formatCode="0.0"/>
  </numFmts>
  <fonts count="8" x14ac:knownFonts="1">
    <font>
      <color theme="1"/>
      <family val="2"/>
      <scheme val="minor"/>
      <sz val="11"/>
      <name val="Calibri"/>
    </font>
    <font>
      <b/>
      <color rgb="FF1F3864"/>
      <sz val="16"/>
    </font>
    <font>
      <b/>
      <color rgb="FF1F3864"/>
    </font>
    <font>
      <b/>
      <color rgb="FF1F3864"/>
      <sz val="14"/>
    </font>
    <font>
      <b/>
      <color rgb="FFFFFFFF"/>
    </font>
    <font>
      <b/>
      <color rgb="FF0000CC"/>
    </font>
    <font>
      <color rgb="FF595959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/>
    <xf numFmtId="0" fontId="4" fillId="4" borderId="1" xfId="0" applyFont="1" applyFill="1" applyBorder="1" applyAlignment="1">
      <alignment horizontal="center" vertical="center" wrapText="1"/>
    </xf>
    <xf numFmtId="10" fontId="5" fillId="2" borderId="1" xfId="0" applyNumberFormat="1" applyFont="1" applyFill="1" applyBorder="1"/>
    <xf numFmtId="0" fontId="6" fillId="0" borderId="0" xfId="0" applyFont="1"/>
    <xf numFmtId="3" fontId="5" fillId="2" borderId="1" xfId="0" applyNumberFormat="1" applyFont="1" applyFill="1" applyBorder="1"/>
    <xf numFmtId="1" fontId="5" fillId="2" borderId="1" xfId="0" applyNumberFormat="1" applyFont="1" applyFill="1" applyBorder="1"/>
    <xf numFmtId="9" fontId="5" fillId="2" borderId="1" xfId="0" applyNumberFormat="1" applyFont="1" applyFill="1" applyBorder="1"/>
    <xf numFmtId="164" fontId="5" fillId="2" borderId="1" xfId="0" applyNumberFormat="1" applyFont="1" applyFill="1" applyBorder="1"/>
    <xf numFmtId="165" fontId="0" fillId="0" borderId="0" xfId="0" applyNumberFormat="1"/>
    <xf numFmtId="166" fontId="0" fillId="0" borderId="0" xfId="0" applyNumberFormat="1"/>
    <xf numFmtId="49" fontId="0" fillId="0" borderId="0" xfId="0" applyNumberFormat="1"/>
    <xf numFmtId="166" fontId="7" fillId="3" borderId="1" xfId="0" applyNumberFormat="1" applyFont="1" applyFill="1" applyBorder="1"/>
    <xf numFmtId="1" fontId="7" fillId="3" borderId="1" xfId="0" applyNumberFormat="1" applyFont="1" applyFill="1" applyBorder="1"/>
    <xf numFmtId="167" fontId="0" fillId="0" borderId="0" xfId="0" applyNumberFormat="1"/>
    <xf numFmtId="168" fontId="0" fillId="0" borderId="0" xfId="0" applyNumberFormat="1"/>
    <xf numFmtId="168" fontId="7" fillId="3" borderId="1" xfId="0" applyNumberFormat="1" applyFont="1" applyFill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</sheetPr>
  <dimension ref="A1:A18"/>
  <sheetFormatPr defaultRowHeight="15" outlineLevelRow="0" outlineLevelCol="0" x14ac:dyDescent="55"/>
  <cols>
    <col min="1" max="1" width="120" customWidth="1"/>
  </cols>
  <sheetData>
    <row r="1" spans="1:1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s="3" t="s">
        <v>2</v>
      </c>
    </row>
    <row r="6" spans="1:1" x14ac:dyDescent="0.25">
      <c r="A6" s="4" t="s">
        <v>3</v>
      </c>
    </row>
    <row r="7" spans="1:1" x14ac:dyDescent="0.25">
      <c r="A7" s="5" t="s">
        <v>4</v>
      </c>
    </row>
    <row r="8" spans="1:1" x14ac:dyDescent="0.25">
      <c r="A8" s="5" t="s">
        <v>5</v>
      </c>
    </row>
    <row r="9" spans="1:1" x14ac:dyDescent="0.25">
      <c r="A9" s="5" t="s">
        <v>6</v>
      </c>
    </row>
    <row r="10" spans="1:1" x14ac:dyDescent="0.25">
      <c r="A10" s="5" t="s">
        <v>7</v>
      </c>
    </row>
    <row r="11" spans="1:1" x14ac:dyDescent="0.25">
      <c r="A11" s="4" t="s">
        <v>8</v>
      </c>
    </row>
    <row r="12" spans="1:1" x14ac:dyDescent="0.25">
      <c r="A12" s="5" t="s">
        <v>9</v>
      </c>
    </row>
    <row r="13" spans="1:1" x14ac:dyDescent="0.25">
      <c r="A13" s="5" t="s">
        <v>10</v>
      </c>
    </row>
    <row r="14" spans="1:1" x14ac:dyDescent="0.25">
      <c r="A14" s="5" t="s">
        <v>11</v>
      </c>
    </row>
    <row r="15" spans="1:1" x14ac:dyDescent="0.25">
      <c r="A15" s="5" t="s">
        <v>12</v>
      </c>
    </row>
    <row r="16" spans="1:1" x14ac:dyDescent="0.25">
      <c r="A16" s="4" t="s">
        <v>13</v>
      </c>
    </row>
    <row r="17" spans="1:1" x14ac:dyDescent="0.25">
      <c r="A17" s="5" t="s">
        <v>14</v>
      </c>
    </row>
    <row r="18" spans="1:1" x14ac:dyDescent="0.25">
      <c r="A18" s="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44" customWidth="1"/>
    <col min="2" max="3" width="14" customWidth="1"/>
    <col min="4" max="4" width="60" customWidth="1"/>
  </cols>
  <sheetData>
    <row r="1" spans="1:1" x14ac:dyDescent="0.25">
      <c r="A1" s="6" t="s">
        <v>16</v>
      </c>
    </row>
    <row r="4" ht="32" customHeight="1" spans="1:4" x14ac:dyDescent="0.25">
      <c r="A4" s="7" t="s">
        <v>17</v>
      </c>
      <c r="B4" s="7" t="s">
        <v>18</v>
      </c>
      <c r="C4" s="7" t="s">
        <v>19</v>
      </c>
      <c r="D4" s="7" t="s">
        <v>20</v>
      </c>
    </row>
    <row r="5" spans="1:4" x14ac:dyDescent="0.25">
      <c r="A5" t="s">
        <v>21</v>
      </c>
      <c r="B5" s="8">
        <v>0.07</v>
      </c>
      <c r="C5" t="s">
        <v>22</v>
      </c>
      <c r="D5" s="9" t="s">
        <v>23</v>
      </c>
    </row>
    <row r="6" spans="1:4" x14ac:dyDescent="0.25">
      <c r="A6" t="s">
        <v>24</v>
      </c>
      <c r="B6" s="8">
        <v>0.04</v>
      </c>
      <c r="C6" t="s">
        <v>22</v>
      </c>
      <c r="D6" s="9" t="s">
        <v>25</v>
      </c>
    </row>
    <row r="7" spans="1:4" x14ac:dyDescent="0.25">
      <c r="A7" t="s">
        <v>26</v>
      </c>
      <c r="B7" s="8">
        <v>0.1</v>
      </c>
      <c r="C7" t="s">
        <v>22</v>
      </c>
      <c r="D7" s="9" t="s">
        <v>25</v>
      </c>
    </row>
    <row r="8" spans="1:4" x14ac:dyDescent="0.25">
      <c r="A8" t="s">
        <v>27</v>
      </c>
      <c r="B8" s="10">
        <v>3003</v>
      </c>
      <c r="C8" t="s">
        <v>28</v>
      </c>
      <c r="D8" s="9" t="s">
        <v>25</v>
      </c>
    </row>
    <row r="9" spans="1:4" x14ac:dyDescent="0.25">
      <c r="A9" t="s">
        <v>29</v>
      </c>
      <c r="B9" s="8">
        <v>0.004</v>
      </c>
      <c r="C9" t="s">
        <v>22</v>
      </c>
      <c r="D9" s="9" t="s">
        <v>25</v>
      </c>
    </row>
    <row r="10" spans="1:4" x14ac:dyDescent="0.25">
      <c r="A10" t="s">
        <v>30</v>
      </c>
      <c r="B10" s="11">
        <v>30</v>
      </c>
      <c r="C10" t="s">
        <v>31</v>
      </c>
      <c r="D10" s="9" t="s">
        <v>25</v>
      </c>
    </row>
    <row r="11" spans="1:4" x14ac:dyDescent="0.25">
      <c r="A11" t="s">
        <v>32</v>
      </c>
      <c r="B11" s="12">
        <v>0.7</v>
      </c>
      <c r="C11" t="s">
        <v>33</v>
      </c>
      <c r="D11" s="9" t="s">
        <v>34</v>
      </c>
    </row>
    <row r="12" spans="1:4" x14ac:dyDescent="0.25">
      <c r="A12" t="s">
        <v>35</v>
      </c>
      <c r="B12" s="12">
        <v>0.3</v>
      </c>
      <c r="C12" t="s">
        <v>33</v>
      </c>
      <c r="D12" s="9" t="s">
        <v>25</v>
      </c>
    </row>
    <row r="13" spans="1:4" x14ac:dyDescent="0.25">
      <c r="A13" t="s">
        <v>36</v>
      </c>
      <c r="B13" s="12">
        <v>-0.15</v>
      </c>
      <c r="C13" t="s">
        <v>33</v>
      </c>
      <c r="D13" s="9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14" customWidth="1"/>
    <col min="2" max="2" width="16" customWidth="1"/>
    <col min="3" max="4" width="14" customWidth="1"/>
    <col min="5" max="5" width="18" customWidth="1"/>
    <col min="6" max="6" width="16" customWidth="1"/>
  </cols>
  <sheetData>
    <row r="1" spans="1:1" x14ac:dyDescent="0.25">
      <c r="A1" s="6" t="s">
        <v>38</v>
      </c>
    </row>
    <row r="4" ht="32" customHeight="1" spans="1:6" x14ac:dyDescent="0.25">
      <c r="A4" s="7" t="s">
        <v>39</v>
      </c>
      <c r="B4" s="7" t="s">
        <v>40</v>
      </c>
      <c r="C4" s="7" t="s">
        <v>41</v>
      </c>
      <c r="D4" s="7" t="s">
        <v>42</v>
      </c>
      <c r="E4" s="7" t="s">
        <v>43</v>
      </c>
      <c r="F4" s="7" t="s">
        <v>44</v>
      </c>
    </row>
    <row r="5" spans="1:6" x14ac:dyDescent="0.25">
      <c r="A5" t="s">
        <v>45</v>
      </c>
      <c r="B5" s="13">
        <v>1.8</v>
      </c>
      <c r="C5" s="8">
        <v>0</v>
      </c>
      <c r="D5" s="11">
        <v>30</v>
      </c>
      <c r="E5" s="13">
        <v>1.8</v>
      </c>
      <c r="F5" s="11">
        <v>82</v>
      </c>
    </row>
    <row r="6" spans="1:6" x14ac:dyDescent="0.25">
      <c r="A6" t="s">
        <v>46</v>
      </c>
      <c r="B6" s="13">
        <v>1.62</v>
      </c>
      <c r="C6" s="8">
        <v>0.015</v>
      </c>
      <c r="D6" s="11">
        <v>30</v>
      </c>
      <c r="E6" s="13">
        <v>1.62</v>
      </c>
      <c r="F6" s="11">
        <v>85</v>
      </c>
    </row>
    <row r="7" spans="1:6" x14ac:dyDescent="0.25">
      <c r="A7" t="s">
        <v>47</v>
      </c>
      <c r="B7" s="13">
        <v>1.44</v>
      </c>
      <c r="C7" s="8">
        <v>0</v>
      </c>
      <c r="D7" s="11">
        <v>30</v>
      </c>
      <c r="E7" s="13">
        <v>1.44</v>
      </c>
      <c r="F7" s="11">
        <v>74</v>
      </c>
    </row>
    <row r="8" spans="1:6" x14ac:dyDescent="0.25">
      <c r="A8" t="s">
        <v>48</v>
      </c>
      <c r="B8" s="13">
        <v>1.95</v>
      </c>
      <c r="C8" s="8">
        <v>0</v>
      </c>
      <c r="D8" s="11">
        <v>10</v>
      </c>
      <c r="E8" s="13">
        <v>1.65</v>
      </c>
      <c r="F8" s="11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FormatPr defaultRowHeight="15" outlineLevelRow="0" outlineLevelCol="0" x14ac:dyDescent="55"/>
  <cols>
    <col min="1" max="10" width="12" customWidth="1"/>
  </cols>
  <sheetData>
    <row r="1" spans="1:1" x14ac:dyDescent="0.25">
      <c r="A1" s="6" t="s">
        <v>49</v>
      </c>
    </row>
    <row r="4" ht="32" customHeight="1" spans="1:10" x14ac:dyDescent="0.25">
      <c r="A4" s="7" t="s">
        <v>50</v>
      </c>
      <c r="B4" s="7" t="s">
        <v>51</v>
      </c>
      <c r="C4" s="7" t="s">
        <v>52</v>
      </c>
      <c r="D4" s="7" t="s">
        <v>53</v>
      </c>
      <c r="E4" s="7" t="s">
        <v>54</v>
      </c>
      <c r="F4" s="7" t="s">
        <v>55</v>
      </c>
      <c r="G4" s="7" t="s">
        <v>56</v>
      </c>
      <c r="H4" s="7" t="s">
        <v>57</v>
      </c>
      <c r="I4" s="7" t="s">
        <v>58</v>
      </c>
      <c r="J4" s="7" t="s">
        <v>59</v>
      </c>
    </row>
    <row r="5" spans="1:10" x14ac:dyDescent="0.25">
      <c r="A5">
        <v>1</v>
      </c>
      <c r="B5">
        <f>IF(A5&lt;='Inputs'!$B$10,1,0)</f>
      </c>
      <c r="C5" s="14">
        <f>B5*'Inputs'!$B$8*(1-'Inputs'!$B$9)^(A5-1)</f>
      </c>
      <c r="D5" s="15">
        <f>1/(1+'Inputs'!$B$5)^A5</f>
      </c>
      <c r="E5" s="15">
        <f>1/(1+'Inputs'!$B$6)^A5</f>
      </c>
      <c r="F5" s="15">
        <f>1/(1+'Inputs'!$B$7)^A5</f>
      </c>
      <c r="G5" s="15">
        <f>B5*IF(A5&lt;=Bids!$D$5,Bids!$B$5,Bids!$E$5)*(1+Bids!$C$5)^(A5-1)</f>
      </c>
      <c r="H5" s="15">
        <f>B5*IF(A5&lt;=Bids!$D$6,Bids!$B$6,Bids!$E$6)*(1+Bids!$C$6)^(A5-1)</f>
      </c>
      <c r="I5" s="15">
        <f>B5*IF(A5&lt;=Bids!$D$7,Bids!$B$7,Bids!$E$7)*(1+Bids!$C$7)^(A5-1)</f>
      </c>
      <c r="J5" s="15">
        <f>B5*IF(A5&lt;=Bids!$D$8,Bids!$B$8,Bids!$E$8)*(1+Bids!$C$8)^(A5-1)</f>
      </c>
    </row>
    <row r="6" spans="1:10" x14ac:dyDescent="0.25">
      <c r="A6">
        <v>2</v>
      </c>
      <c r="B6">
        <f>IF(A6&lt;='Inputs'!$B$10,1,0)</f>
      </c>
      <c r="C6" s="14">
        <f>B6*'Inputs'!$B$8*(1-'Inputs'!$B$9)^(A6-1)</f>
      </c>
      <c r="D6" s="15">
        <f>1/(1+'Inputs'!$B$5)^A6</f>
      </c>
      <c r="E6" s="15">
        <f>1/(1+'Inputs'!$B$6)^A6</f>
      </c>
      <c r="F6" s="15">
        <f>1/(1+'Inputs'!$B$7)^A6</f>
      </c>
      <c r="G6" s="15">
        <f>B6*IF(A6&lt;=Bids!$D$5,Bids!$B$5,Bids!$E$5)*(1+Bids!$C$5)^(A6-1)</f>
      </c>
      <c r="H6" s="15">
        <f>B6*IF(A6&lt;=Bids!$D$6,Bids!$B$6,Bids!$E$6)*(1+Bids!$C$6)^(A6-1)</f>
      </c>
      <c r="I6" s="15">
        <f>B6*IF(A6&lt;=Bids!$D$7,Bids!$B$7,Bids!$E$7)*(1+Bids!$C$7)^(A6-1)</f>
      </c>
      <c r="J6" s="15">
        <f>B6*IF(A6&lt;=Bids!$D$8,Bids!$B$8,Bids!$E$8)*(1+Bids!$C$8)^(A6-1)</f>
      </c>
    </row>
    <row r="7" spans="1:10" x14ac:dyDescent="0.25">
      <c r="A7">
        <v>3</v>
      </c>
      <c r="B7">
        <f>IF(A7&lt;='Inputs'!$B$10,1,0)</f>
      </c>
      <c r="C7" s="14">
        <f>B7*'Inputs'!$B$8*(1-'Inputs'!$B$9)^(A7-1)</f>
      </c>
      <c r="D7" s="15">
        <f>1/(1+'Inputs'!$B$5)^A7</f>
      </c>
      <c r="E7" s="15">
        <f>1/(1+'Inputs'!$B$6)^A7</f>
      </c>
      <c r="F7" s="15">
        <f>1/(1+'Inputs'!$B$7)^A7</f>
      </c>
      <c r="G7" s="15">
        <f>B7*IF(A7&lt;=Bids!$D$5,Bids!$B$5,Bids!$E$5)*(1+Bids!$C$5)^(A7-1)</f>
      </c>
      <c r="H7" s="15">
        <f>B7*IF(A7&lt;=Bids!$D$6,Bids!$B$6,Bids!$E$6)*(1+Bids!$C$6)^(A7-1)</f>
      </c>
      <c r="I7" s="15">
        <f>B7*IF(A7&lt;=Bids!$D$7,Bids!$B$7,Bids!$E$7)*(1+Bids!$C$7)^(A7-1)</f>
      </c>
      <c r="J7" s="15">
        <f>B7*IF(A7&lt;=Bids!$D$8,Bids!$B$8,Bids!$E$8)*(1+Bids!$C$8)^(A7-1)</f>
      </c>
    </row>
    <row r="8" spans="1:10" x14ac:dyDescent="0.25">
      <c r="A8">
        <v>4</v>
      </c>
      <c r="B8">
        <f>IF(A8&lt;='Inputs'!$B$10,1,0)</f>
      </c>
      <c r="C8" s="14">
        <f>B8*'Inputs'!$B$8*(1-'Inputs'!$B$9)^(A8-1)</f>
      </c>
      <c r="D8" s="15">
        <f>1/(1+'Inputs'!$B$5)^A8</f>
      </c>
      <c r="E8" s="15">
        <f>1/(1+'Inputs'!$B$6)^A8</f>
      </c>
      <c r="F8" s="15">
        <f>1/(1+'Inputs'!$B$7)^A8</f>
      </c>
      <c r="G8" s="15">
        <f>B8*IF(A8&lt;=Bids!$D$5,Bids!$B$5,Bids!$E$5)*(1+Bids!$C$5)^(A8-1)</f>
      </c>
      <c r="H8" s="15">
        <f>B8*IF(A8&lt;=Bids!$D$6,Bids!$B$6,Bids!$E$6)*(1+Bids!$C$6)^(A8-1)</f>
      </c>
      <c r="I8" s="15">
        <f>B8*IF(A8&lt;=Bids!$D$7,Bids!$B$7,Bids!$E$7)*(1+Bids!$C$7)^(A8-1)</f>
      </c>
      <c r="J8" s="15">
        <f>B8*IF(A8&lt;=Bids!$D$8,Bids!$B$8,Bids!$E$8)*(1+Bids!$C$8)^(A8-1)</f>
      </c>
    </row>
    <row r="9" spans="1:10" x14ac:dyDescent="0.25">
      <c r="A9">
        <v>5</v>
      </c>
      <c r="B9">
        <f>IF(A9&lt;='Inputs'!$B$10,1,0)</f>
      </c>
      <c r="C9" s="14">
        <f>B9*'Inputs'!$B$8*(1-'Inputs'!$B$9)^(A9-1)</f>
      </c>
      <c r="D9" s="15">
        <f>1/(1+'Inputs'!$B$5)^A9</f>
      </c>
      <c r="E9" s="15">
        <f>1/(1+'Inputs'!$B$6)^A9</f>
      </c>
      <c r="F9" s="15">
        <f>1/(1+'Inputs'!$B$7)^A9</f>
      </c>
      <c r="G9" s="15">
        <f>B9*IF(A9&lt;=Bids!$D$5,Bids!$B$5,Bids!$E$5)*(1+Bids!$C$5)^(A9-1)</f>
      </c>
      <c r="H9" s="15">
        <f>B9*IF(A9&lt;=Bids!$D$6,Bids!$B$6,Bids!$E$6)*(1+Bids!$C$6)^(A9-1)</f>
      </c>
      <c r="I9" s="15">
        <f>B9*IF(A9&lt;=Bids!$D$7,Bids!$B$7,Bids!$E$7)*(1+Bids!$C$7)^(A9-1)</f>
      </c>
      <c r="J9" s="15">
        <f>B9*IF(A9&lt;=Bids!$D$8,Bids!$B$8,Bids!$E$8)*(1+Bids!$C$8)^(A9-1)</f>
      </c>
    </row>
    <row r="10" spans="1:10" x14ac:dyDescent="0.25">
      <c r="A10">
        <v>6</v>
      </c>
      <c r="B10">
        <f>IF(A10&lt;='Inputs'!$B$10,1,0)</f>
      </c>
      <c r="C10" s="14">
        <f>B10*'Inputs'!$B$8*(1-'Inputs'!$B$9)^(A10-1)</f>
      </c>
      <c r="D10" s="15">
        <f>1/(1+'Inputs'!$B$5)^A10</f>
      </c>
      <c r="E10" s="15">
        <f>1/(1+'Inputs'!$B$6)^A10</f>
      </c>
      <c r="F10" s="15">
        <f>1/(1+'Inputs'!$B$7)^A10</f>
      </c>
      <c r="G10" s="15">
        <f>B10*IF(A10&lt;=Bids!$D$5,Bids!$B$5,Bids!$E$5)*(1+Bids!$C$5)^(A10-1)</f>
      </c>
      <c r="H10" s="15">
        <f>B10*IF(A10&lt;=Bids!$D$6,Bids!$B$6,Bids!$E$6)*(1+Bids!$C$6)^(A10-1)</f>
      </c>
      <c r="I10" s="15">
        <f>B10*IF(A10&lt;=Bids!$D$7,Bids!$B$7,Bids!$E$7)*(1+Bids!$C$7)^(A10-1)</f>
      </c>
      <c r="J10" s="15">
        <f>B10*IF(A10&lt;=Bids!$D$8,Bids!$B$8,Bids!$E$8)*(1+Bids!$C$8)^(A10-1)</f>
      </c>
    </row>
    <row r="11" spans="1:10" x14ac:dyDescent="0.25">
      <c r="A11">
        <v>7</v>
      </c>
      <c r="B11">
        <f>IF(A11&lt;='Inputs'!$B$10,1,0)</f>
      </c>
      <c r="C11" s="14">
        <f>B11*'Inputs'!$B$8*(1-'Inputs'!$B$9)^(A11-1)</f>
      </c>
      <c r="D11" s="15">
        <f>1/(1+'Inputs'!$B$5)^A11</f>
      </c>
      <c r="E11" s="15">
        <f>1/(1+'Inputs'!$B$6)^A11</f>
      </c>
      <c r="F11" s="15">
        <f>1/(1+'Inputs'!$B$7)^A11</f>
      </c>
      <c r="G11" s="15">
        <f>B11*IF(A11&lt;=Bids!$D$5,Bids!$B$5,Bids!$E$5)*(1+Bids!$C$5)^(A11-1)</f>
      </c>
      <c r="H11" s="15">
        <f>B11*IF(A11&lt;=Bids!$D$6,Bids!$B$6,Bids!$E$6)*(1+Bids!$C$6)^(A11-1)</f>
      </c>
      <c r="I11" s="15">
        <f>B11*IF(A11&lt;=Bids!$D$7,Bids!$B$7,Bids!$E$7)*(1+Bids!$C$7)^(A11-1)</f>
      </c>
      <c r="J11" s="15">
        <f>B11*IF(A11&lt;=Bids!$D$8,Bids!$B$8,Bids!$E$8)*(1+Bids!$C$8)^(A11-1)</f>
      </c>
    </row>
    <row r="12" spans="1:10" x14ac:dyDescent="0.25">
      <c r="A12">
        <v>8</v>
      </c>
      <c r="B12">
        <f>IF(A12&lt;='Inputs'!$B$10,1,0)</f>
      </c>
      <c r="C12" s="14">
        <f>B12*'Inputs'!$B$8*(1-'Inputs'!$B$9)^(A12-1)</f>
      </c>
      <c r="D12" s="15">
        <f>1/(1+'Inputs'!$B$5)^A12</f>
      </c>
      <c r="E12" s="15">
        <f>1/(1+'Inputs'!$B$6)^A12</f>
      </c>
      <c r="F12" s="15">
        <f>1/(1+'Inputs'!$B$7)^A12</f>
      </c>
      <c r="G12" s="15">
        <f>B12*IF(A12&lt;=Bids!$D$5,Bids!$B$5,Bids!$E$5)*(1+Bids!$C$5)^(A12-1)</f>
      </c>
      <c r="H12" s="15">
        <f>B12*IF(A12&lt;=Bids!$D$6,Bids!$B$6,Bids!$E$6)*(1+Bids!$C$6)^(A12-1)</f>
      </c>
      <c r="I12" s="15">
        <f>B12*IF(A12&lt;=Bids!$D$7,Bids!$B$7,Bids!$E$7)*(1+Bids!$C$7)^(A12-1)</f>
      </c>
      <c r="J12" s="15">
        <f>B12*IF(A12&lt;=Bids!$D$8,Bids!$B$8,Bids!$E$8)*(1+Bids!$C$8)^(A12-1)</f>
      </c>
    </row>
    <row r="13" spans="1:10" x14ac:dyDescent="0.25">
      <c r="A13">
        <v>9</v>
      </c>
      <c r="B13">
        <f>IF(A13&lt;='Inputs'!$B$10,1,0)</f>
      </c>
      <c r="C13" s="14">
        <f>B13*'Inputs'!$B$8*(1-'Inputs'!$B$9)^(A13-1)</f>
      </c>
      <c r="D13" s="15">
        <f>1/(1+'Inputs'!$B$5)^A13</f>
      </c>
      <c r="E13" s="15">
        <f>1/(1+'Inputs'!$B$6)^A13</f>
      </c>
      <c r="F13" s="15">
        <f>1/(1+'Inputs'!$B$7)^A13</f>
      </c>
      <c r="G13" s="15">
        <f>B13*IF(A13&lt;=Bids!$D$5,Bids!$B$5,Bids!$E$5)*(1+Bids!$C$5)^(A13-1)</f>
      </c>
      <c r="H13" s="15">
        <f>B13*IF(A13&lt;=Bids!$D$6,Bids!$B$6,Bids!$E$6)*(1+Bids!$C$6)^(A13-1)</f>
      </c>
      <c r="I13" s="15">
        <f>B13*IF(A13&lt;=Bids!$D$7,Bids!$B$7,Bids!$E$7)*(1+Bids!$C$7)^(A13-1)</f>
      </c>
      <c r="J13" s="15">
        <f>B13*IF(A13&lt;=Bids!$D$8,Bids!$B$8,Bids!$E$8)*(1+Bids!$C$8)^(A13-1)</f>
      </c>
    </row>
    <row r="14" spans="1:10" x14ac:dyDescent="0.25">
      <c r="A14">
        <v>10</v>
      </c>
      <c r="B14">
        <f>IF(A14&lt;='Inputs'!$B$10,1,0)</f>
      </c>
      <c r="C14" s="14">
        <f>B14*'Inputs'!$B$8*(1-'Inputs'!$B$9)^(A14-1)</f>
      </c>
      <c r="D14" s="15">
        <f>1/(1+'Inputs'!$B$5)^A14</f>
      </c>
      <c r="E14" s="15">
        <f>1/(1+'Inputs'!$B$6)^A14</f>
      </c>
      <c r="F14" s="15">
        <f>1/(1+'Inputs'!$B$7)^A14</f>
      </c>
      <c r="G14" s="15">
        <f>B14*IF(A14&lt;=Bids!$D$5,Bids!$B$5,Bids!$E$5)*(1+Bids!$C$5)^(A14-1)</f>
      </c>
      <c r="H14" s="15">
        <f>B14*IF(A14&lt;=Bids!$D$6,Bids!$B$6,Bids!$E$6)*(1+Bids!$C$6)^(A14-1)</f>
      </c>
      <c r="I14" s="15">
        <f>B14*IF(A14&lt;=Bids!$D$7,Bids!$B$7,Bids!$E$7)*(1+Bids!$C$7)^(A14-1)</f>
      </c>
      <c r="J14" s="15">
        <f>B14*IF(A14&lt;=Bids!$D$8,Bids!$B$8,Bids!$E$8)*(1+Bids!$C$8)^(A14-1)</f>
      </c>
    </row>
    <row r="15" spans="1:10" x14ac:dyDescent="0.25">
      <c r="A15">
        <v>11</v>
      </c>
      <c r="B15">
        <f>IF(A15&lt;='Inputs'!$B$10,1,0)</f>
      </c>
      <c r="C15" s="14">
        <f>B15*'Inputs'!$B$8*(1-'Inputs'!$B$9)^(A15-1)</f>
      </c>
      <c r="D15" s="15">
        <f>1/(1+'Inputs'!$B$5)^A15</f>
      </c>
      <c r="E15" s="15">
        <f>1/(1+'Inputs'!$B$6)^A15</f>
      </c>
      <c r="F15" s="15">
        <f>1/(1+'Inputs'!$B$7)^A15</f>
      </c>
      <c r="G15" s="15">
        <f>B15*IF(A15&lt;=Bids!$D$5,Bids!$B$5,Bids!$E$5)*(1+Bids!$C$5)^(A15-1)</f>
      </c>
      <c r="H15" s="15">
        <f>B15*IF(A15&lt;=Bids!$D$6,Bids!$B$6,Bids!$E$6)*(1+Bids!$C$6)^(A15-1)</f>
      </c>
      <c r="I15" s="15">
        <f>B15*IF(A15&lt;=Bids!$D$7,Bids!$B$7,Bids!$E$7)*(1+Bids!$C$7)^(A15-1)</f>
      </c>
      <c r="J15" s="15">
        <f>B15*IF(A15&lt;=Bids!$D$8,Bids!$B$8,Bids!$E$8)*(1+Bids!$C$8)^(A15-1)</f>
      </c>
    </row>
    <row r="16" spans="1:10" x14ac:dyDescent="0.25">
      <c r="A16">
        <v>12</v>
      </c>
      <c r="B16">
        <f>IF(A16&lt;='Inputs'!$B$10,1,0)</f>
      </c>
      <c r="C16" s="14">
        <f>B16*'Inputs'!$B$8*(1-'Inputs'!$B$9)^(A16-1)</f>
      </c>
      <c r="D16" s="15">
        <f>1/(1+'Inputs'!$B$5)^A16</f>
      </c>
      <c r="E16" s="15">
        <f>1/(1+'Inputs'!$B$6)^A16</f>
      </c>
      <c r="F16" s="15">
        <f>1/(1+'Inputs'!$B$7)^A16</f>
      </c>
      <c r="G16" s="15">
        <f>B16*IF(A16&lt;=Bids!$D$5,Bids!$B$5,Bids!$E$5)*(1+Bids!$C$5)^(A16-1)</f>
      </c>
      <c r="H16" s="15">
        <f>B16*IF(A16&lt;=Bids!$D$6,Bids!$B$6,Bids!$E$6)*(1+Bids!$C$6)^(A16-1)</f>
      </c>
      <c r="I16" s="15">
        <f>B16*IF(A16&lt;=Bids!$D$7,Bids!$B$7,Bids!$E$7)*(1+Bids!$C$7)^(A16-1)</f>
      </c>
      <c r="J16" s="15">
        <f>B16*IF(A16&lt;=Bids!$D$8,Bids!$B$8,Bids!$E$8)*(1+Bids!$C$8)^(A16-1)</f>
      </c>
    </row>
    <row r="17" spans="1:10" x14ac:dyDescent="0.25">
      <c r="A17">
        <v>13</v>
      </c>
      <c r="B17">
        <f>IF(A17&lt;='Inputs'!$B$10,1,0)</f>
      </c>
      <c r="C17" s="14">
        <f>B17*'Inputs'!$B$8*(1-'Inputs'!$B$9)^(A17-1)</f>
      </c>
      <c r="D17" s="15">
        <f>1/(1+'Inputs'!$B$5)^A17</f>
      </c>
      <c r="E17" s="15">
        <f>1/(1+'Inputs'!$B$6)^A17</f>
      </c>
      <c r="F17" s="15">
        <f>1/(1+'Inputs'!$B$7)^A17</f>
      </c>
      <c r="G17" s="15">
        <f>B17*IF(A17&lt;=Bids!$D$5,Bids!$B$5,Bids!$E$5)*(1+Bids!$C$5)^(A17-1)</f>
      </c>
      <c r="H17" s="15">
        <f>B17*IF(A17&lt;=Bids!$D$6,Bids!$B$6,Bids!$E$6)*(1+Bids!$C$6)^(A17-1)</f>
      </c>
      <c r="I17" s="15">
        <f>B17*IF(A17&lt;=Bids!$D$7,Bids!$B$7,Bids!$E$7)*(1+Bids!$C$7)^(A17-1)</f>
      </c>
      <c r="J17" s="15">
        <f>B17*IF(A17&lt;=Bids!$D$8,Bids!$B$8,Bids!$E$8)*(1+Bids!$C$8)^(A17-1)</f>
      </c>
    </row>
    <row r="18" spans="1:10" x14ac:dyDescent="0.25">
      <c r="A18">
        <v>14</v>
      </c>
      <c r="B18">
        <f>IF(A18&lt;='Inputs'!$B$10,1,0)</f>
      </c>
      <c r="C18" s="14">
        <f>B18*'Inputs'!$B$8*(1-'Inputs'!$B$9)^(A18-1)</f>
      </c>
      <c r="D18" s="15">
        <f>1/(1+'Inputs'!$B$5)^A18</f>
      </c>
      <c r="E18" s="15">
        <f>1/(1+'Inputs'!$B$6)^A18</f>
      </c>
      <c r="F18" s="15">
        <f>1/(1+'Inputs'!$B$7)^A18</f>
      </c>
      <c r="G18" s="15">
        <f>B18*IF(A18&lt;=Bids!$D$5,Bids!$B$5,Bids!$E$5)*(1+Bids!$C$5)^(A18-1)</f>
      </c>
      <c r="H18" s="15">
        <f>B18*IF(A18&lt;=Bids!$D$6,Bids!$B$6,Bids!$E$6)*(1+Bids!$C$6)^(A18-1)</f>
      </c>
      <c r="I18" s="15">
        <f>B18*IF(A18&lt;=Bids!$D$7,Bids!$B$7,Bids!$E$7)*(1+Bids!$C$7)^(A18-1)</f>
      </c>
      <c r="J18" s="15">
        <f>B18*IF(A18&lt;=Bids!$D$8,Bids!$B$8,Bids!$E$8)*(1+Bids!$C$8)^(A18-1)</f>
      </c>
    </row>
    <row r="19" spans="1:10" x14ac:dyDescent="0.25">
      <c r="A19">
        <v>15</v>
      </c>
      <c r="B19">
        <f>IF(A19&lt;='Inputs'!$B$10,1,0)</f>
      </c>
      <c r="C19" s="14">
        <f>B19*'Inputs'!$B$8*(1-'Inputs'!$B$9)^(A19-1)</f>
      </c>
      <c r="D19" s="15">
        <f>1/(1+'Inputs'!$B$5)^A19</f>
      </c>
      <c r="E19" s="15">
        <f>1/(1+'Inputs'!$B$6)^A19</f>
      </c>
      <c r="F19" s="15">
        <f>1/(1+'Inputs'!$B$7)^A19</f>
      </c>
      <c r="G19" s="15">
        <f>B19*IF(A19&lt;=Bids!$D$5,Bids!$B$5,Bids!$E$5)*(1+Bids!$C$5)^(A19-1)</f>
      </c>
      <c r="H19" s="15">
        <f>B19*IF(A19&lt;=Bids!$D$6,Bids!$B$6,Bids!$E$6)*(1+Bids!$C$6)^(A19-1)</f>
      </c>
      <c r="I19" s="15">
        <f>B19*IF(A19&lt;=Bids!$D$7,Bids!$B$7,Bids!$E$7)*(1+Bids!$C$7)^(A19-1)</f>
      </c>
      <c r="J19" s="15">
        <f>B19*IF(A19&lt;=Bids!$D$8,Bids!$B$8,Bids!$E$8)*(1+Bids!$C$8)^(A19-1)</f>
      </c>
    </row>
    <row r="20" spans="1:10" x14ac:dyDescent="0.25">
      <c r="A20">
        <v>16</v>
      </c>
      <c r="B20">
        <f>IF(A20&lt;='Inputs'!$B$10,1,0)</f>
      </c>
      <c r="C20" s="14">
        <f>B20*'Inputs'!$B$8*(1-'Inputs'!$B$9)^(A20-1)</f>
      </c>
      <c r="D20" s="15">
        <f>1/(1+'Inputs'!$B$5)^A20</f>
      </c>
      <c r="E20" s="15">
        <f>1/(1+'Inputs'!$B$6)^A20</f>
      </c>
      <c r="F20" s="15">
        <f>1/(1+'Inputs'!$B$7)^A20</f>
      </c>
      <c r="G20" s="15">
        <f>B20*IF(A20&lt;=Bids!$D$5,Bids!$B$5,Bids!$E$5)*(1+Bids!$C$5)^(A20-1)</f>
      </c>
      <c r="H20" s="15">
        <f>B20*IF(A20&lt;=Bids!$D$6,Bids!$B$6,Bids!$E$6)*(1+Bids!$C$6)^(A20-1)</f>
      </c>
      <c r="I20" s="15">
        <f>B20*IF(A20&lt;=Bids!$D$7,Bids!$B$7,Bids!$E$7)*(1+Bids!$C$7)^(A20-1)</f>
      </c>
      <c r="J20" s="15">
        <f>B20*IF(A20&lt;=Bids!$D$8,Bids!$B$8,Bids!$E$8)*(1+Bids!$C$8)^(A20-1)</f>
      </c>
    </row>
    <row r="21" spans="1:10" x14ac:dyDescent="0.25">
      <c r="A21">
        <v>17</v>
      </c>
      <c r="B21">
        <f>IF(A21&lt;='Inputs'!$B$10,1,0)</f>
      </c>
      <c r="C21" s="14">
        <f>B21*'Inputs'!$B$8*(1-'Inputs'!$B$9)^(A21-1)</f>
      </c>
      <c r="D21" s="15">
        <f>1/(1+'Inputs'!$B$5)^A21</f>
      </c>
      <c r="E21" s="15">
        <f>1/(1+'Inputs'!$B$6)^A21</f>
      </c>
      <c r="F21" s="15">
        <f>1/(1+'Inputs'!$B$7)^A21</f>
      </c>
      <c r="G21" s="15">
        <f>B21*IF(A21&lt;=Bids!$D$5,Bids!$B$5,Bids!$E$5)*(1+Bids!$C$5)^(A21-1)</f>
      </c>
      <c r="H21" s="15">
        <f>B21*IF(A21&lt;=Bids!$D$6,Bids!$B$6,Bids!$E$6)*(1+Bids!$C$6)^(A21-1)</f>
      </c>
      <c r="I21" s="15">
        <f>B21*IF(A21&lt;=Bids!$D$7,Bids!$B$7,Bids!$E$7)*(1+Bids!$C$7)^(A21-1)</f>
      </c>
      <c r="J21" s="15">
        <f>B21*IF(A21&lt;=Bids!$D$8,Bids!$B$8,Bids!$E$8)*(1+Bids!$C$8)^(A21-1)</f>
      </c>
    </row>
    <row r="22" spans="1:10" x14ac:dyDescent="0.25">
      <c r="A22">
        <v>18</v>
      </c>
      <c r="B22">
        <f>IF(A22&lt;='Inputs'!$B$10,1,0)</f>
      </c>
      <c r="C22" s="14">
        <f>B22*'Inputs'!$B$8*(1-'Inputs'!$B$9)^(A22-1)</f>
      </c>
      <c r="D22" s="15">
        <f>1/(1+'Inputs'!$B$5)^A22</f>
      </c>
      <c r="E22" s="15">
        <f>1/(1+'Inputs'!$B$6)^A22</f>
      </c>
      <c r="F22" s="15">
        <f>1/(1+'Inputs'!$B$7)^A22</f>
      </c>
      <c r="G22" s="15">
        <f>B22*IF(A22&lt;=Bids!$D$5,Bids!$B$5,Bids!$E$5)*(1+Bids!$C$5)^(A22-1)</f>
      </c>
      <c r="H22" s="15">
        <f>B22*IF(A22&lt;=Bids!$D$6,Bids!$B$6,Bids!$E$6)*(1+Bids!$C$6)^(A22-1)</f>
      </c>
      <c r="I22" s="15">
        <f>B22*IF(A22&lt;=Bids!$D$7,Bids!$B$7,Bids!$E$7)*(1+Bids!$C$7)^(A22-1)</f>
      </c>
      <c r="J22" s="15">
        <f>B22*IF(A22&lt;=Bids!$D$8,Bids!$B$8,Bids!$E$8)*(1+Bids!$C$8)^(A22-1)</f>
      </c>
    </row>
    <row r="23" spans="1:10" x14ac:dyDescent="0.25">
      <c r="A23">
        <v>19</v>
      </c>
      <c r="B23">
        <f>IF(A23&lt;='Inputs'!$B$10,1,0)</f>
      </c>
      <c r="C23" s="14">
        <f>B23*'Inputs'!$B$8*(1-'Inputs'!$B$9)^(A23-1)</f>
      </c>
      <c r="D23" s="15">
        <f>1/(1+'Inputs'!$B$5)^A23</f>
      </c>
      <c r="E23" s="15">
        <f>1/(1+'Inputs'!$B$6)^A23</f>
      </c>
      <c r="F23" s="15">
        <f>1/(1+'Inputs'!$B$7)^A23</f>
      </c>
      <c r="G23" s="15">
        <f>B23*IF(A23&lt;=Bids!$D$5,Bids!$B$5,Bids!$E$5)*(1+Bids!$C$5)^(A23-1)</f>
      </c>
      <c r="H23" s="15">
        <f>B23*IF(A23&lt;=Bids!$D$6,Bids!$B$6,Bids!$E$6)*(1+Bids!$C$6)^(A23-1)</f>
      </c>
      <c r="I23" s="15">
        <f>B23*IF(A23&lt;=Bids!$D$7,Bids!$B$7,Bids!$E$7)*(1+Bids!$C$7)^(A23-1)</f>
      </c>
      <c r="J23" s="15">
        <f>B23*IF(A23&lt;=Bids!$D$8,Bids!$B$8,Bids!$E$8)*(1+Bids!$C$8)^(A23-1)</f>
      </c>
    </row>
    <row r="24" spans="1:10" x14ac:dyDescent="0.25">
      <c r="A24">
        <v>20</v>
      </c>
      <c r="B24">
        <f>IF(A24&lt;='Inputs'!$B$10,1,0)</f>
      </c>
      <c r="C24" s="14">
        <f>B24*'Inputs'!$B$8*(1-'Inputs'!$B$9)^(A24-1)</f>
      </c>
      <c r="D24" s="15">
        <f>1/(1+'Inputs'!$B$5)^A24</f>
      </c>
      <c r="E24" s="15">
        <f>1/(1+'Inputs'!$B$6)^A24</f>
      </c>
      <c r="F24" s="15">
        <f>1/(1+'Inputs'!$B$7)^A24</f>
      </c>
      <c r="G24" s="15">
        <f>B24*IF(A24&lt;=Bids!$D$5,Bids!$B$5,Bids!$E$5)*(1+Bids!$C$5)^(A24-1)</f>
      </c>
      <c r="H24" s="15">
        <f>B24*IF(A24&lt;=Bids!$D$6,Bids!$B$6,Bids!$E$6)*(1+Bids!$C$6)^(A24-1)</f>
      </c>
      <c r="I24" s="15">
        <f>B24*IF(A24&lt;=Bids!$D$7,Bids!$B$7,Bids!$E$7)*(1+Bids!$C$7)^(A24-1)</f>
      </c>
      <c r="J24" s="15">
        <f>B24*IF(A24&lt;=Bids!$D$8,Bids!$B$8,Bids!$E$8)*(1+Bids!$C$8)^(A24-1)</f>
      </c>
    </row>
    <row r="25" spans="1:10" x14ac:dyDescent="0.25">
      <c r="A25">
        <v>21</v>
      </c>
      <c r="B25">
        <f>IF(A25&lt;='Inputs'!$B$10,1,0)</f>
      </c>
      <c r="C25" s="14">
        <f>B25*'Inputs'!$B$8*(1-'Inputs'!$B$9)^(A25-1)</f>
      </c>
      <c r="D25" s="15">
        <f>1/(1+'Inputs'!$B$5)^A25</f>
      </c>
      <c r="E25" s="15">
        <f>1/(1+'Inputs'!$B$6)^A25</f>
      </c>
      <c r="F25" s="15">
        <f>1/(1+'Inputs'!$B$7)^A25</f>
      </c>
      <c r="G25" s="15">
        <f>B25*IF(A25&lt;=Bids!$D$5,Bids!$B$5,Bids!$E$5)*(1+Bids!$C$5)^(A25-1)</f>
      </c>
      <c r="H25" s="15">
        <f>B25*IF(A25&lt;=Bids!$D$6,Bids!$B$6,Bids!$E$6)*(1+Bids!$C$6)^(A25-1)</f>
      </c>
      <c r="I25" s="15">
        <f>B25*IF(A25&lt;=Bids!$D$7,Bids!$B$7,Bids!$E$7)*(1+Bids!$C$7)^(A25-1)</f>
      </c>
      <c r="J25" s="15">
        <f>B25*IF(A25&lt;=Bids!$D$8,Bids!$B$8,Bids!$E$8)*(1+Bids!$C$8)^(A25-1)</f>
      </c>
    </row>
    <row r="26" spans="1:10" x14ac:dyDescent="0.25">
      <c r="A26">
        <v>22</v>
      </c>
      <c r="B26">
        <f>IF(A26&lt;='Inputs'!$B$10,1,0)</f>
      </c>
      <c r="C26" s="14">
        <f>B26*'Inputs'!$B$8*(1-'Inputs'!$B$9)^(A26-1)</f>
      </c>
      <c r="D26" s="15">
        <f>1/(1+'Inputs'!$B$5)^A26</f>
      </c>
      <c r="E26" s="15">
        <f>1/(1+'Inputs'!$B$6)^A26</f>
      </c>
      <c r="F26" s="15">
        <f>1/(1+'Inputs'!$B$7)^A26</f>
      </c>
      <c r="G26" s="15">
        <f>B26*IF(A26&lt;=Bids!$D$5,Bids!$B$5,Bids!$E$5)*(1+Bids!$C$5)^(A26-1)</f>
      </c>
      <c r="H26" s="15">
        <f>B26*IF(A26&lt;=Bids!$D$6,Bids!$B$6,Bids!$E$6)*(1+Bids!$C$6)^(A26-1)</f>
      </c>
      <c r="I26" s="15">
        <f>B26*IF(A26&lt;=Bids!$D$7,Bids!$B$7,Bids!$E$7)*(1+Bids!$C$7)^(A26-1)</f>
      </c>
      <c r="J26" s="15">
        <f>B26*IF(A26&lt;=Bids!$D$8,Bids!$B$8,Bids!$E$8)*(1+Bids!$C$8)^(A26-1)</f>
      </c>
    </row>
    <row r="27" spans="1:10" x14ac:dyDescent="0.25">
      <c r="A27">
        <v>23</v>
      </c>
      <c r="B27">
        <f>IF(A27&lt;='Inputs'!$B$10,1,0)</f>
      </c>
      <c r="C27" s="14">
        <f>B27*'Inputs'!$B$8*(1-'Inputs'!$B$9)^(A27-1)</f>
      </c>
      <c r="D27" s="15">
        <f>1/(1+'Inputs'!$B$5)^A27</f>
      </c>
      <c r="E27" s="15">
        <f>1/(1+'Inputs'!$B$6)^A27</f>
      </c>
      <c r="F27" s="15">
        <f>1/(1+'Inputs'!$B$7)^A27</f>
      </c>
      <c r="G27" s="15">
        <f>B27*IF(A27&lt;=Bids!$D$5,Bids!$B$5,Bids!$E$5)*(1+Bids!$C$5)^(A27-1)</f>
      </c>
      <c r="H27" s="15">
        <f>B27*IF(A27&lt;=Bids!$D$6,Bids!$B$6,Bids!$E$6)*(1+Bids!$C$6)^(A27-1)</f>
      </c>
      <c r="I27" s="15">
        <f>B27*IF(A27&lt;=Bids!$D$7,Bids!$B$7,Bids!$E$7)*(1+Bids!$C$7)^(A27-1)</f>
      </c>
      <c r="J27" s="15">
        <f>B27*IF(A27&lt;=Bids!$D$8,Bids!$B$8,Bids!$E$8)*(1+Bids!$C$8)^(A27-1)</f>
      </c>
    </row>
    <row r="28" spans="1:10" x14ac:dyDescent="0.25">
      <c r="A28">
        <v>24</v>
      </c>
      <c r="B28">
        <f>IF(A28&lt;='Inputs'!$B$10,1,0)</f>
      </c>
      <c r="C28" s="14">
        <f>B28*'Inputs'!$B$8*(1-'Inputs'!$B$9)^(A28-1)</f>
      </c>
      <c r="D28" s="15">
        <f>1/(1+'Inputs'!$B$5)^A28</f>
      </c>
      <c r="E28" s="15">
        <f>1/(1+'Inputs'!$B$6)^A28</f>
      </c>
      <c r="F28" s="15">
        <f>1/(1+'Inputs'!$B$7)^A28</f>
      </c>
      <c r="G28" s="15">
        <f>B28*IF(A28&lt;=Bids!$D$5,Bids!$B$5,Bids!$E$5)*(1+Bids!$C$5)^(A28-1)</f>
      </c>
      <c r="H28" s="15">
        <f>B28*IF(A28&lt;=Bids!$D$6,Bids!$B$6,Bids!$E$6)*(1+Bids!$C$6)^(A28-1)</f>
      </c>
      <c r="I28" s="15">
        <f>B28*IF(A28&lt;=Bids!$D$7,Bids!$B$7,Bids!$E$7)*(1+Bids!$C$7)^(A28-1)</f>
      </c>
      <c r="J28" s="15">
        <f>B28*IF(A28&lt;=Bids!$D$8,Bids!$B$8,Bids!$E$8)*(1+Bids!$C$8)^(A28-1)</f>
      </c>
    </row>
    <row r="29" spans="1:10" x14ac:dyDescent="0.25">
      <c r="A29">
        <v>25</v>
      </c>
      <c r="B29">
        <f>IF(A29&lt;='Inputs'!$B$10,1,0)</f>
      </c>
      <c r="C29" s="14">
        <f>B29*'Inputs'!$B$8*(1-'Inputs'!$B$9)^(A29-1)</f>
      </c>
      <c r="D29" s="15">
        <f>1/(1+'Inputs'!$B$5)^A29</f>
      </c>
      <c r="E29" s="15">
        <f>1/(1+'Inputs'!$B$6)^A29</f>
      </c>
      <c r="F29" s="15">
        <f>1/(1+'Inputs'!$B$7)^A29</f>
      </c>
      <c r="G29" s="15">
        <f>B29*IF(A29&lt;=Bids!$D$5,Bids!$B$5,Bids!$E$5)*(1+Bids!$C$5)^(A29-1)</f>
      </c>
      <c r="H29" s="15">
        <f>B29*IF(A29&lt;=Bids!$D$6,Bids!$B$6,Bids!$E$6)*(1+Bids!$C$6)^(A29-1)</f>
      </c>
      <c r="I29" s="15">
        <f>B29*IF(A29&lt;=Bids!$D$7,Bids!$B$7,Bids!$E$7)*(1+Bids!$C$7)^(A29-1)</f>
      </c>
      <c r="J29" s="15">
        <f>B29*IF(A29&lt;=Bids!$D$8,Bids!$B$8,Bids!$E$8)*(1+Bids!$C$8)^(A29-1)</f>
      </c>
    </row>
    <row r="30" spans="1:10" x14ac:dyDescent="0.25">
      <c r="A30">
        <v>26</v>
      </c>
      <c r="B30">
        <f>IF(A30&lt;='Inputs'!$B$10,1,0)</f>
      </c>
      <c r="C30" s="14">
        <f>B30*'Inputs'!$B$8*(1-'Inputs'!$B$9)^(A30-1)</f>
      </c>
      <c r="D30" s="15">
        <f>1/(1+'Inputs'!$B$5)^A30</f>
      </c>
      <c r="E30" s="15">
        <f>1/(1+'Inputs'!$B$6)^A30</f>
      </c>
      <c r="F30" s="15">
        <f>1/(1+'Inputs'!$B$7)^A30</f>
      </c>
      <c r="G30" s="15">
        <f>B30*IF(A30&lt;=Bids!$D$5,Bids!$B$5,Bids!$E$5)*(1+Bids!$C$5)^(A30-1)</f>
      </c>
      <c r="H30" s="15">
        <f>B30*IF(A30&lt;=Bids!$D$6,Bids!$B$6,Bids!$E$6)*(1+Bids!$C$6)^(A30-1)</f>
      </c>
      <c r="I30" s="15">
        <f>B30*IF(A30&lt;=Bids!$D$7,Bids!$B$7,Bids!$E$7)*(1+Bids!$C$7)^(A30-1)</f>
      </c>
      <c r="J30" s="15">
        <f>B30*IF(A30&lt;=Bids!$D$8,Bids!$B$8,Bids!$E$8)*(1+Bids!$C$8)^(A30-1)</f>
      </c>
    </row>
    <row r="31" spans="1:10" x14ac:dyDescent="0.25">
      <c r="A31">
        <v>27</v>
      </c>
      <c r="B31">
        <f>IF(A31&lt;='Inputs'!$B$10,1,0)</f>
      </c>
      <c r="C31" s="14">
        <f>B31*'Inputs'!$B$8*(1-'Inputs'!$B$9)^(A31-1)</f>
      </c>
      <c r="D31" s="15">
        <f>1/(1+'Inputs'!$B$5)^A31</f>
      </c>
      <c r="E31" s="15">
        <f>1/(1+'Inputs'!$B$6)^A31</f>
      </c>
      <c r="F31" s="15">
        <f>1/(1+'Inputs'!$B$7)^A31</f>
      </c>
      <c r="G31" s="15">
        <f>B31*IF(A31&lt;=Bids!$D$5,Bids!$B$5,Bids!$E$5)*(1+Bids!$C$5)^(A31-1)</f>
      </c>
      <c r="H31" s="15">
        <f>B31*IF(A31&lt;=Bids!$D$6,Bids!$B$6,Bids!$E$6)*(1+Bids!$C$6)^(A31-1)</f>
      </c>
      <c r="I31" s="15">
        <f>B31*IF(A31&lt;=Bids!$D$7,Bids!$B$7,Bids!$E$7)*(1+Bids!$C$7)^(A31-1)</f>
      </c>
      <c r="J31" s="15">
        <f>B31*IF(A31&lt;=Bids!$D$8,Bids!$B$8,Bids!$E$8)*(1+Bids!$C$8)^(A31-1)</f>
      </c>
    </row>
    <row r="32" spans="1:10" x14ac:dyDescent="0.25">
      <c r="A32">
        <v>28</v>
      </c>
      <c r="B32">
        <f>IF(A32&lt;='Inputs'!$B$10,1,0)</f>
      </c>
      <c r="C32" s="14">
        <f>B32*'Inputs'!$B$8*(1-'Inputs'!$B$9)^(A32-1)</f>
      </c>
      <c r="D32" s="15">
        <f>1/(1+'Inputs'!$B$5)^A32</f>
      </c>
      <c r="E32" s="15">
        <f>1/(1+'Inputs'!$B$6)^A32</f>
      </c>
      <c r="F32" s="15">
        <f>1/(1+'Inputs'!$B$7)^A32</f>
      </c>
      <c r="G32" s="15">
        <f>B32*IF(A32&lt;=Bids!$D$5,Bids!$B$5,Bids!$E$5)*(1+Bids!$C$5)^(A32-1)</f>
      </c>
      <c r="H32" s="15">
        <f>B32*IF(A32&lt;=Bids!$D$6,Bids!$B$6,Bids!$E$6)*(1+Bids!$C$6)^(A32-1)</f>
      </c>
      <c r="I32" s="15">
        <f>B32*IF(A32&lt;=Bids!$D$7,Bids!$B$7,Bids!$E$7)*(1+Bids!$C$7)^(A32-1)</f>
      </c>
      <c r="J32" s="15">
        <f>B32*IF(A32&lt;=Bids!$D$8,Bids!$B$8,Bids!$E$8)*(1+Bids!$C$8)^(A32-1)</f>
      </c>
    </row>
    <row r="33" spans="1:10" x14ac:dyDescent="0.25">
      <c r="A33">
        <v>29</v>
      </c>
      <c r="B33">
        <f>IF(A33&lt;='Inputs'!$B$10,1,0)</f>
      </c>
      <c r="C33" s="14">
        <f>B33*'Inputs'!$B$8*(1-'Inputs'!$B$9)^(A33-1)</f>
      </c>
      <c r="D33" s="15">
        <f>1/(1+'Inputs'!$B$5)^A33</f>
      </c>
      <c r="E33" s="15">
        <f>1/(1+'Inputs'!$B$6)^A33</f>
      </c>
      <c r="F33" s="15">
        <f>1/(1+'Inputs'!$B$7)^A33</f>
      </c>
      <c r="G33" s="15">
        <f>B33*IF(A33&lt;=Bids!$D$5,Bids!$B$5,Bids!$E$5)*(1+Bids!$C$5)^(A33-1)</f>
      </c>
      <c r="H33" s="15">
        <f>B33*IF(A33&lt;=Bids!$D$6,Bids!$B$6,Bids!$E$6)*(1+Bids!$C$6)^(A33-1)</f>
      </c>
      <c r="I33" s="15">
        <f>B33*IF(A33&lt;=Bids!$D$7,Bids!$B$7,Bids!$E$7)*(1+Bids!$C$7)^(A33-1)</f>
      </c>
      <c r="J33" s="15">
        <f>B33*IF(A33&lt;=Bids!$D$8,Bids!$B$8,Bids!$E$8)*(1+Bids!$C$8)^(A33-1)</f>
      </c>
    </row>
    <row r="34" spans="1:10" x14ac:dyDescent="0.25">
      <c r="A34">
        <v>30</v>
      </c>
      <c r="B34">
        <f>IF(A34&lt;='Inputs'!$B$10,1,0)</f>
      </c>
      <c r="C34" s="14">
        <f>B34*'Inputs'!$B$8*(1-'Inputs'!$B$9)^(A34-1)</f>
      </c>
      <c r="D34" s="15">
        <f>1/(1+'Inputs'!$B$5)^A34</f>
      </c>
      <c r="E34" s="15">
        <f>1/(1+'Inputs'!$B$6)^A34</f>
      </c>
      <c r="F34" s="15">
        <f>1/(1+'Inputs'!$B$7)^A34</f>
      </c>
      <c r="G34" s="15">
        <f>B34*IF(A34&lt;=Bids!$D$5,Bids!$B$5,Bids!$E$5)*(1+Bids!$C$5)^(A34-1)</f>
      </c>
      <c r="H34" s="15">
        <f>B34*IF(A34&lt;=Bids!$D$6,Bids!$B$6,Bids!$E$6)*(1+Bids!$C$6)^(A34-1)</f>
      </c>
      <c r="I34" s="15">
        <f>B34*IF(A34&lt;=Bids!$D$7,Bids!$B$7,Bids!$E$7)*(1+Bids!$C$7)^(A34-1)</f>
      </c>
      <c r="J34" s="15">
        <f>B34*IF(A34&lt;=Bids!$D$8,Bids!$B$8,Bids!$E$8)*(1+Bids!$C$8)^(A34-1)</f>
      </c>
    </row>
    <row r="35" spans="1:10" x14ac:dyDescent="0.25">
      <c r="A35">
        <v>31</v>
      </c>
      <c r="B35">
        <f>IF(A35&lt;='Inputs'!$B$10,1,0)</f>
      </c>
      <c r="C35" s="14">
        <f>B35*'Inputs'!$B$8*(1-'Inputs'!$B$9)^(A35-1)</f>
      </c>
      <c r="D35" s="15">
        <f>1/(1+'Inputs'!$B$5)^A35</f>
      </c>
      <c r="E35" s="15">
        <f>1/(1+'Inputs'!$B$6)^A35</f>
      </c>
      <c r="F35" s="15">
        <f>1/(1+'Inputs'!$B$7)^A35</f>
      </c>
      <c r="G35" s="15">
        <f>B35*IF(A35&lt;=Bids!$D$5,Bids!$B$5,Bids!$E$5)*(1+Bids!$C$5)^(A35-1)</f>
      </c>
      <c r="H35" s="15">
        <f>B35*IF(A35&lt;=Bids!$D$6,Bids!$B$6,Bids!$E$6)*(1+Bids!$C$6)^(A35-1)</f>
      </c>
      <c r="I35" s="15">
        <f>B35*IF(A35&lt;=Bids!$D$7,Bids!$B$7,Bids!$E$7)*(1+Bids!$C$7)^(A35-1)</f>
      </c>
      <c r="J35" s="15">
        <f>B35*IF(A35&lt;=Bids!$D$8,Bids!$B$8,Bids!$E$8)*(1+Bids!$C$8)^(A35-1)</f>
      </c>
    </row>
    <row r="36" spans="1:10" x14ac:dyDescent="0.25">
      <c r="A36">
        <v>32</v>
      </c>
      <c r="B36">
        <f>IF(A36&lt;='Inputs'!$B$10,1,0)</f>
      </c>
      <c r="C36" s="14">
        <f>B36*'Inputs'!$B$8*(1-'Inputs'!$B$9)^(A36-1)</f>
      </c>
      <c r="D36" s="15">
        <f>1/(1+'Inputs'!$B$5)^A36</f>
      </c>
      <c r="E36" s="15">
        <f>1/(1+'Inputs'!$B$6)^A36</f>
      </c>
      <c r="F36" s="15">
        <f>1/(1+'Inputs'!$B$7)^A36</f>
      </c>
      <c r="G36" s="15">
        <f>B36*IF(A36&lt;=Bids!$D$5,Bids!$B$5,Bids!$E$5)*(1+Bids!$C$5)^(A36-1)</f>
      </c>
      <c r="H36" s="15">
        <f>B36*IF(A36&lt;=Bids!$D$6,Bids!$B$6,Bids!$E$6)*(1+Bids!$C$6)^(A36-1)</f>
      </c>
      <c r="I36" s="15">
        <f>B36*IF(A36&lt;=Bids!$D$7,Bids!$B$7,Bids!$E$7)*(1+Bids!$C$7)^(A36-1)</f>
      </c>
      <c r="J36" s="15">
        <f>B36*IF(A36&lt;=Bids!$D$8,Bids!$B$8,Bids!$E$8)*(1+Bids!$C$8)^(A36-1)</f>
      </c>
    </row>
    <row r="37" spans="1:10" x14ac:dyDescent="0.25">
      <c r="A37">
        <v>33</v>
      </c>
      <c r="B37">
        <f>IF(A37&lt;='Inputs'!$B$10,1,0)</f>
      </c>
      <c r="C37" s="14">
        <f>B37*'Inputs'!$B$8*(1-'Inputs'!$B$9)^(A37-1)</f>
      </c>
      <c r="D37" s="15">
        <f>1/(1+'Inputs'!$B$5)^A37</f>
      </c>
      <c r="E37" s="15">
        <f>1/(1+'Inputs'!$B$6)^A37</f>
      </c>
      <c r="F37" s="15">
        <f>1/(1+'Inputs'!$B$7)^A37</f>
      </c>
      <c r="G37" s="15">
        <f>B37*IF(A37&lt;=Bids!$D$5,Bids!$B$5,Bids!$E$5)*(1+Bids!$C$5)^(A37-1)</f>
      </c>
      <c r="H37" s="15">
        <f>B37*IF(A37&lt;=Bids!$D$6,Bids!$B$6,Bids!$E$6)*(1+Bids!$C$6)^(A37-1)</f>
      </c>
      <c r="I37" s="15">
        <f>B37*IF(A37&lt;=Bids!$D$7,Bids!$B$7,Bids!$E$7)*(1+Bids!$C$7)^(A37-1)</f>
      </c>
      <c r="J37" s="15">
        <f>B37*IF(A37&lt;=Bids!$D$8,Bids!$B$8,Bids!$E$8)*(1+Bids!$C$8)^(A37-1)</f>
      </c>
    </row>
    <row r="38" spans="1:10" x14ac:dyDescent="0.25">
      <c r="A38">
        <v>34</v>
      </c>
      <c r="B38">
        <f>IF(A38&lt;='Inputs'!$B$10,1,0)</f>
      </c>
      <c r="C38" s="14">
        <f>B38*'Inputs'!$B$8*(1-'Inputs'!$B$9)^(A38-1)</f>
      </c>
      <c r="D38" s="15">
        <f>1/(1+'Inputs'!$B$5)^A38</f>
      </c>
      <c r="E38" s="15">
        <f>1/(1+'Inputs'!$B$6)^A38</f>
      </c>
      <c r="F38" s="15">
        <f>1/(1+'Inputs'!$B$7)^A38</f>
      </c>
      <c r="G38" s="15">
        <f>B38*IF(A38&lt;=Bids!$D$5,Bids!$B$5,Bids!$E$5)*(1+Bids!$C$5)^(A38-1)</f>
      </c>
      <c r="H38" s="15">
        <f>B38*IF(A38&lt;=Bids!$D$6,Bids!$B$6,Bids!$E$6)*(1+Bids!$C$6)^(A38-1)</f>
      </c>
      <c r="I38" s="15">
        <f>B38*IF(A38&lt;=Bids!$D$7,Bids!$B$7,Bids!$E$7)*(1+Bids!$C$7)^(A38-1)</f>
      </c>
      <c r="J38" s="15">
        <f>B38*IF(A38&lt;=Bids!$D$8,Bids!$B$8,Bids!$E$8)*(1+Bids!$C$8)^(A38-1)</f>
      </c>
    </row>
    <row r="39" spans="1:10" x14ac:dyDescent="0.25">
      <c r="A39">
        <v>35</v>
      </c>
      <c r="B39">
        <f>IF(A39&lt;='Inputs'!$B$10,1,0)</f>
      </c>
      <c r="C39" s="14">
        <f>B39*'Inputs'!$B$8*(1-'Inputs'!$B$9)^(A39-1)</f>
      </c>
      <c r="D39" s="15">
        <f>1/(1+'Inputs'!$B$5)^A39</f>
      </c>
      <c r="E39" s="15">
        <f>1/(1+'Inputs'!$B$6)^A39</f>
      </c>
      <c r="F39" s="15">
        <f>1/(1+'Inputs'!$B$7)^A39</f>
      </c>
      <c r="G39" s="15">
        <f>B39*IF(A39&lt;=Bids!$D$5,Bids!$B$5,Bids!$E$5)*(1+Bids!$C$5)^(A39-1)</f>
      </c>
      <c r="H39" s="15">
        <f>B39*IF(A39&lt;=Bids!$D$6,Bids!$B$6,Bids!$E$6)*(1+Bids!$C$6)^(A39-1)</f>
      </c>
      <c r="I39" s="15">
        <f>B39*IF(A39&lt;=Bids!$D$7,Bids!$B$7,Bids!$E$7)*(1+Bids!$C$7)^(A39-1)</f>
      </c>
      <c r="J39" s="15">
        <f>B39*IF(A39&lt;=Bids!$D$8,Bids!$B$8,Bids!$E$8)*(1+Bids!$C$8)^(A39-1)</f>
      </c>
    </row>
    <row r="40" spans="1:10" x14ac:dyDescent="0.25">
      <c r="A40">
        <v>36</v>
      </c>
      <c r="B40">
        <f>IF(A40&lt;='Inputs'!$B$10,1,0)</f>
      </c>
      <c r="C40" s="14">
        <f>B40*'Inputs'!$B$8*(1-'Inputs'!$B$9)^(A40-1)</f>
      </c>
      <c r="D40" s="15">
        <f>1/(1+'Inputs'!$B$5)^A40</f>
      </c>
      <c r="E40" s="15">
        <f>1/(1+'Inputs'!$B$6)^A40</f>
      </c>
      <c r="F40" s="15">
        <f>1/(1+'Inputs'!$B$7)^A40</f>
      </c>
      <c r="G40" s="15">
        <f>B40*IF(A40&lt;=Bids!$D$5,Bids!$B$5,Bids!$E$5)*(1+Bids!$C$5)^(A40-1)</f>
      </c>
      <c r="H40" s="15">
        <f>B40*IF(A40&lt;=Bids!$D$6,Bids!$B$6,Bids!$E$6)*(1+Bids!$C$6)^(A40-1)</f>
      </c>
      <c r="I40" s="15">
        <f>B40*IF(A40&lt;=Bids!$D$7,Bids!$B$7,Bids!$E$7)*(1+Bids!$C$7)^(A40-1)</f>
      </c>
      <c r="J40" s="15">
        <f>B40*IF(A40&lt;=Bids!$D$8,Bids!$B$8,Bids!$E$8)*(1+Bids!$C$8)^(A40-1)</f>
      </c>
    </row>
    <row r="41" spans="1:10" x14ac:dyDescent="0.25">
      <c r="A41">
        <v>37</v>
      </c>
      <c r="B41">
        <f>IF(A41&lt;='Inputs'!$B$10,1,0)</f>
      </c>
      <c r="C41" s="14">
        <f>B41*'Inputs'!$B$8*(1-'Inputs'!$B$9)^(A41-1)</f>
      </c>
      <c r="D41" s="15">
        <f>1/(1+'Inputs'!$B$5)^A41</f>
      </c>
      <c r="E41" s="15">
        <f>1/(1+'Inputs'!$B$6)^A41</f>
      </c>
      <c r="F41" s="15">
        <f>1/(1+'Inputs'!$B$7)^A41</f>
      </c>
      <c r="G41" s="15">
        <f>B41*IF(A41&lt;=Bids!$D$5,Bids!$B$5,Bids!$E$5)*(1+Bids!$C$5)^(A41-1)</f>
      </c>
      <c r="H41" s="15">
        <f>B41*IF(A41&lt;=Bids!$D$6,Bids!$B$6,Bids!$E$6)*(1+Bids!$C$6)^(A41-1)</f>
      </c>
      <c r="I41" s="15">
        <f>B41*IF(A41&lt;=Bids!$D$7,Bids!$B$7,Bids!$E$7)*(1+Bids!$C$7)^(A41-1)</f>
      </c>
      <c r="J41" s="15">
        <f>B41*IF(A41&lt;=Bids!$D$8,Bids!$B$8,Bids!$E$8)*(1+Bids!$C$8)^(A41-1)</f>
      </c>
    </row>
    <row r="42" spans="1:10" x14ac:dyDescent="0.25">
      <c r="A42">
        <v>38</v>
      </c>
      <c r="B42">
        <f>IF(A42&lt;='Inputs'!$B$10,1,0)</f>
      </c>
      <c r="C42" s="14">
        <f>B42*'Inputs'!$B$8*(1-'Inputs'!$B$9)^(A42-1)</f>
      </c>
      <c r="D42" s="15">
        <f>1/(1+'Inputs'!$B$5)^A42</f>
      </c>
      <c r="E42" s="15">
        <f>1/(1+'Inputs'!$B$6)^A42</f>
      </c>
      <c r="F42" s="15">
        <f>1/(1+'Inputs'!$B$7)^A42</f>
      </c>
      <c r="G42" s="15">
        <f>B42*IF(A42&lt;=Bids!$D$5,Bids!$B$5,Bids!$E$5)*(1+Bids!$C$5)^(A42-1)</f>
      </c>
      <c r="H42" s="15">
        <f>B42*IF(A42&lt;=Bids!$D$6,Bids!$B$6,Bids!$E$6)*(1+Bids!$C$6)^(A42-1)</f>
      </c>
      <c r="I42" s="15">
        <f>B42*IF(A42&lt;=Bids!$D$7,Bids!$B$7,Bids!$E$7)*(1+Bids!$C$7)^(A42-1)</f>
      </c>
      <c r="J42" s="15">
        <f>B42*IF(A42&lt;=Bids!$D$8,Bids!$B$8,Bids!$E$8)*(1+Bids!$C$8)^(A42-1)</f>
      </c>
    </row>
    <row r="43" spans="1:10" x14ac:dyDescent="0.25">
      <c r="A43">
        <v>39</v>
      </c>
      <c r="B43">
        <f>IF(A43&lt;='Inputs'!$B$10,1,0)</f>
      </c>
      <c r="C43" s="14">
        <f>B43*'Inputs'!$B$8*(1-'Inputs'!$B$9)^(A43-1)</f>
      </c>
      <c r="D43" s="15">
        <f>1/(1+'Inputs'!$B$5)^A43</f>
      </c>
      <c r="E43" s="15">
        <f>1/(1+'Inputs'!$B$6)^A43</f>
      </c>
      <c r="F43" s="15">
        <f>1/(1+'Inputs'!$B$7)^A43</f>
      </c>
      <c r="G43" s="15">
        <f>B43*IF(A43&lt;=Bids!$D$5,Bids!$B$5,Bids!$E$5)*(1+Bids!$C$5)^(A43-1)</f>
      </c>
      <c r="H43" s="15">
        <f>B43*IF(A43&lt;=Bids!$D$6,Bids!$B$6,Bids!$E$6)*(1+Bids!$C$6)^(A43-1)</f>
      </c>
      <c r="I43" s="15">
        <f>B43*IF(A43&lt;=Bids!$D$7,Bids!$B$7,Bids!$E$7)*(1+Bids!$C$7)^(A43-1)</f>
      </c>
      <c r="J43" s="15">
        <f>B43*IF(A43&lt;=Bids!$D$8,Bids!$B$8,Bids!$E$8)*(1+Bids!$C$8)^(A43-1)</f>
      </c>
    </row>
    <row r="44" spans="1:10" x14ac:dyDescent="0.25">
      <c r="A44">
        <v>40</v>
      </c>
      <c r="B44">
        <f>IF(A44&lt;='Inputs'!$B$10,1,0)</f>
      </c>
      <c r="C44" s="14">
        <f>B44*'Inputs'!$B$8*(1-'Inputs'!$B$9)^(A44-1)</f>
      </c>
      <c r="D44" s="15">
        <f>1/(1+'Inputs'!$B$5)^A44</f>
      </c>
      <c r="E44" s="15">
        <f>1/(1+'Inputs'!$B$6)^A44</f>
      </c>
      <c r="F44" s="15">
        <f>1/(1+'Inputs'!$B$7)^A44</f>
      </c>
      <c r="G44" s="15">
        <f>B44*IF(A44&lt;=Bids!$D$5,Bids!$B$5,Bids!$E$5)*(1+Bids!$C$5)^(A44-1)</f>
      </c>
      <c r="H44" s="15">
        <f>B44*IF(A44&lt;=Bids!$D$6,Bids!$B$6,Bids!$E$6)*(1+Bids!$C$6)^(A44-1)</f>
      </c>
      <c r="I44" s="15">
        <f>B44*IF(A44&lt;=Bids!$D$7,Bids!$B$7,Bids!$E$7)*(1+Bids!$C$7)^(A44-1)</f>
      </c>
      <c r="J44" s="15">
        <f>B44*IF(A44&lt;=Bids!$D$8,Bids!$B$8,Bids!$E$8)*(1+Bids!$C$8)^(A44-1)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FormatPr defaultRowHeight="15" outlineLevelRow="0" outlineLevelCol="0" x14ac:dyDescent="55"/>
  <cols>
    <col min="1" max="1" width="20" customWidth="1"/>
    <col min="2" max="15" width="14" customWidth="1"/>
  </cols>
  <sheetData>
    <row r="1" spans="1:1" x14ac:dyDescent="0.25">
      <c r="A1" s="6" t="s">
        <v>60</v>
      </c>
    </row>
    <row r="4" ht="32" customHeight="1" spans="1:15" x14ac:dyDescent="0.25">
      <c r="A4" s="7" t="s">
        <v>39</v>
      </c>
      <c r="B4" s="7" t="s">
        <v>61</v>
      </c>
      <c r="C4" s="7" t="s">
        <v>62</v>
      </c>
      <c r="D4" s="7" t="s">
        <v>63</v>
      </c>
      <c r="E4" s="7" t="s">
        <v>64</v>
      </c>
      <c r="F4" s="7" t="s">
        <v>65</v>
      </c>
      <c r="G4" s="7" t="s">
        <v>66</v>
      </c>
      <c r="H4" s="7" t="s">
        <v>67</v>
      </c>
      <c r="I4" s="7" t="s">
        <v>68</v>
      </c>
      <c r="J4" s="7" t="s">
        <v>69</v>
      </c>
      <c r="K4" s="7" t="s">
        <v>70</v>
      </c>
      <c r="L4" s="7" t="s">
        <v>71</v>
      </c>
      <c r="M4" s="7" t="s">
        <v>72</v>
      </c>
      <c r="N4" s="7" t="s">
        <v>73</v>
      </c>
      <c r="O4" s="7" t="s">
        <v>74</v>
      </c>
    </row>
    <row r="5" spans="1:15" x14ac:dyDescent="0.25">
      <c r="A5" s="16">
        <f>Bids!A5</f>
      </c>
      <c r="B5" s="17">
        <f>SUMPRODUCT(Calc!$G$5:$G$44,Calc!$C$5:$C$44,Calc!$D$5:$D$44)/SUMPRODUCT(Calc!$C$5:$C$44,Calc!$D$5:$D$44)</f>
      </c>
      <c r="C5" s="14">
        <f>SUMPRODUCT(Calc!$G$5:$G$44,Calc!$C$5:$C$44,Calc!$D$5:$D$44)/100</f>
      </c>
      <c r="D5" s="18">
        <f>RANK(B5,$B$5:$B$8,1)</f>
      </c>
      <c r="E5" s="19">
        <f>B5/MEDIAN($B$5:$B$8)-1</f>
      </c>
      <c r="F5" s="16">
        <f>IF(E5&lt;='Inputs'!$B$13,"CLARIFY: abnormally low?","ok")</f>
      </c>
      <c r="G5" s="20">
        <f>MIN($B$5:$B$8)/B5*100</f>
      </c>
      <c r="H5" s="20">
        <f>Bids!F5</f>
      </c>
      <c r="I5" s="21">
        <f>'Inputs'!$B$11*G5+'Inputs'!$B$12*H5</f>
      </c>
      <c r="J5" s="22">
        <f>RANK(I5,$I$5:$I$8,0)</f>
      </c>
      <c r="K5" s="15">
        <f>SUMPRODUCT(Calc!$G$5:$G$44,Calc!$C$5:$C$44,Calc!$E$5:$E$44)/SUMPRODUCT(Calc!$C$5:$C$44,Calc!$E$5:$E$44)</f>
      </c>
      <c r="L5" s="22">
        <f>RANK(K5,$K$5:$K$8,1)</f>
      </c>
      <c r="M5" s="15">
        <f>SUMPRODUCT(Calc!$G$5:$G$44,Calc!$C$5:$C$44,Calc!$F$5:$F$44)/SUMPRODUCT(Calc!$C$5:$C$44,Calc!$F$5:$F$44)</f>
      </c>
      <c r="N5" s="22">
        <f>RANK(M5,$M$5:$M$8,1)</f>
      </c>
      <c r="O5" s="15">
        <f>SUM(Calc!$G$5:$G$44)/'Inputs'!$B$10</f>
      </c>
    </row>
    <row r="6" spans="1:15" x14ac:dyDescent="0.25">
      <c r="A6" s="16">
        <f>Bids!A6</f>
      </c>
      <c r="B6" s="17">
        <f>SUMPRODUCT(Calc!$H$5:$H$44,Calc!$C$5:$C$44,Calc!$D$5:$D$44)/SUMPRODUCT(Calc!$C$5:$C$44,Calc!$D$5:$D$44)</f>
      </c>
      <c r="C6" s="14">
        <f>SUMPRODUCT(Calc!$H$5:$H$44,Calc!$C$5:$C$44,Calc!$D$5:$D$44)/100</f>
      </c>
      <c r="D6" s="18">
        <f>RANK(B6,$B$5:$B$8,1)</f>
      </c>
      <c r="E6" s="19">
        <f>B6/MEDIAN($B$5:$B$8)-1</f>
      </c>
      <c r="F6" s="16">
        <f>IF(E6&lt;='Inputs'!$B$13,"CLARIFY: abnormally low?","ok")</f>
      </c>
      <c r="G6" s="20">
        <f>MIN($B$5:$B$8)/B6*100</f>
      </c>
      <c r="H6" s="20">
        <f>Bids!F6</f>
      </c>
      <c r="I6" s="21">
        <f>'Inputs'!$B$11*G6+'Inputs'!$B$12*H6</f>
      </c>
      <c r="J6" s="22">
        <f>RANK(I6,$I$5:$I$8,0)</f>
      </c>
      <c r="K6" s="15">
        <f>SUMPRODUCT(Calc!$H$5:$H$44,Calc!$C$5:$C$44,Calc!$E$5:$E$44)/SUMPRODUCT(Calc!$C$5:$C$44,Calc!$E$5:$E$44)</f>
      </c>
      <c r="L6" s="22">
        <f>RANK(K6,$K$5:$K$8,1)</f>
      </c>
      <c r="M6" s="15">
        <f>SUMPRODUCT(Calc!$H$5:$H$44,Calc!$C$5:$C$44,Calc!$F$5:$F$44)/SUMPRODUCT(Calc!$C$5:$C$44,Calc!$F$5:$F$44)</f>
      </c>
      <c r="N6" s="22">
        <f>RANK(M6,$M$5:$M$8,1)</f>
      </c>
      <c r="O6" s="15">
        <f>SUM(Calc!$H$5:$H$44)/'Inputs'!$B$10</f>
      </c>
    </row>
    <row r="7" spans="1:15" x14ac:dyDescent="0.25">
      <c r="A7" s="16">
        <f>Bids!A7</f>
      </c>
      <c r="B7" s="17">
        <f>SUMPRODUCT(Calc!$I$5:$I$44,Calc!$C$5:$C$44,Calc!$D$5:$D$44)/SUMPRODUCT(Calc!$C$5:$C$44,Calc!$D$5:$D$44)</f>
      </c>
      <c r="C7" s="14">
        <f>SUMPRODUCT(Calc!$I$5:$I$44,Calc!$C$5:$C$44,Calc!$D$5:$D$44)/100</f>
      </c>
      <c r="D7" s="18">
        <f>RANK(B7,$B$5:$B$8,1)</f>
      </c>
      <c r="E7" s="19">
        <f>B7/MEDIAN($B$5:$B$8)-1</f>
      </c>
      <c r="F7" s="16">
        <f>IF(E7&lt;='Inputs'!$B$13,"CLARIFY: abnormally low?","ok")</f>
      </c>
      <c r="G7" s="20">
        <f>MIN($B$5:$B$8)/B7*100</f>
      </c>
      <c r="H7" s="20">
        <f>Bids!F7</f>
      </c>
      <c r="I7" s="21">
        <f>'Inputs'!$B$11*G7+'Inputs'!$B$12*H7</f>
      </c>
      <c r="J7" s="22">
        <f>RANK(I7,$I$5:$I$8,0)</f>
      </c>
      <c r="K7" s="15">
        <f>SUMPRODUCT(Calc!$I$5:$I$44,Calc!$C$5:$C$44,Calc!$E$5:$E$44)/SUMPRODUCT(Calc!$C$5:$C$44,Calc!$E$5:$E$44)</f>
      </c>
      <c r="L7" s="22">
        <f>RANK(K7,$K$5:$K$8,1)</f>
      </c>
      <c r="M7" s="15">
        <f>SUMPRODUCT(Calc!$I$5:$I$44,Calc!$C$5:$C$44,Calc!$F$5:$F$44)/SUMPRODUCT(Calc!$C$5:$C$44,Calc!$F$5:$F$44)</f>
      </c>
      <c r="N7" s="22">
        <f>RANK(M7,$M$5:$M$8,1)</f>
      </c>
      <c r="O7" s="15">
        <f>SUM(Calc!$I$5:$I$44)/'Inputs'!$B$10</f>
      </c>
    </row>
    <row r="8" spans="1:15" x14ac:dyDescent="0.25">
      <c r="A8" s="16">
        <f>Bids!A8</f>
      </c>
      <c r="B8" s="17">
        <f>SUMPRODUCT(Calc!$J$5:$J$44,Calc!$C$5:$C$44,Calc!$D$5:$D$44)/SUMPRODUCT(Calc!$C$5:$C$44,Calc!$D$5:$D$44)</f>
      </c>
      <c r="C8" s="14">
        <f>SUMPRODUCT(Calc!$J$5:$J$44,Calc!$C$5:$C$44,Calc!$D$5:$D$44)/100</f>
      </c>
      <c r="D8" s="18">
        <f>RANK(B8,$B$5:$B$8,1)</f>
      </c>
      <c r="E8" s="19">
        <f>B8/MEDIAN($B$5:$B$8)-1</f>
      </c>
      <c r="F8" s="16">
        <f>IF(E8&lt;='Inputs'!$B$13,"CLARIFY: abnormally low?","ok")</f>
      </c>
      <c r="G8" s="20">
        <f>MIN($B$5:$B$8)/B8*100</f>
      </c>
      <c r="H8" s="20">
        <f>Bids!F8</f>
      </c>
      <c r="I8" s="21">
        <f>'Inputs'!$B$11*G8+'Inputs'!$B$12*H8</f>
      </c>
      <c r="J8" s="22">
        <f>RANK(I8,$I$5:$I$8,0)</f>
      </c>
      <c r="K8" s="15">
        <f>SUMPRODUCT(Calc!$J$5:$J$44,Calc!$C$5:$C$44,Calc!$E$5:$E$44)/SUMPRODUCT(Calc!$C$5:$C$44,Calc!$E$5:$E$44)</f>
      </c>
      <c r="L8" s="22">
        <f>RANK(K8,$K$5:$K$8,1)</f>
      </c>
      <c r="M8" s="15">
        <f>SUMPRODUCT(Calc!$J$5:$J$44,Calc!$C$5:$C$44,Calc!$F$5:$F$44)/SUMPRODUCT(Calc!$C$5:$C$44,Calc!$F$5:$F$44)</f>
      </c>
      <c r="N8" s="22">
        <f>RANK(M8,$M$5:$M$8,1)</f>
      </c>
      <c r="O8" s="15">
        <f>SUM(Calc!$J$5:$J$44)/'Inputs'!$B$10</f>
      </c>
    </row>
    <row r="11" spans="1:3" x14ac:dyDescent="0.25">
      <c r="A11" t="s">
        <v>75</v>
      </c>
      <c r="C11" s="14">
        <f>SUMPRODUCT(Calc!$C$5:$C$44,Calc!$D$5:$D$44)</f>
      </c>
    </row>
    <row r="12" spans="1:1" x14ac:dyDescent="0.25">
      <c r="A12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Inputs</vt:lpstr>
      <vt:lpstr>Bids</vt:lpstr>
      <vt:lpstr>Calc</vt:lpstr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MEWRE PM Learning Platform (Module 10)</dc:creator>
  <dc:title>Tariff bid evaluation</dc:title>
  <dc:subject/>
  <dc:description/>
  <cp:keywords/>
  <cp:category/>
  <cp:lastModifiedBy>Unknown</cp:lastModifiedBy>
  <dcterms:created xsi:type="dcterms:W3CDTF">2026-10-19T00:00:00Z</dcterms:created>
  <dcterms:modified xsi:type="dcterms:W3CDTF">2026-10-19T10:53:52Z</dcterms:modified>
</cp:coreProperties>
</file>